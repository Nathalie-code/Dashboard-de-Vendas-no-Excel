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ath\Desktop\sales\"/>
    </mc:Choice>
  </mc:AlternateContent>
  <xr:revisionPtr revIDLastSave="0" documentId="13_ncr:1_{5DC2953F-1D84-47C6-A481-91EB416C6456}" xr6:coauthVersionLast="47" xr6:coauthVersionMax="47" xr10:uidLastSave="{00000000-0000-0000-0000-000000000000}"/>
  <bookViews>
    <workbookView xWindow="-120" yWindow="-120" windowWidth="29040" windowHeight="15720" activeTab="2" xr2:uid="{E005E4C0-F31C-4749-BD13-4017E1A1E14E}"/>
  </bookViews>
  <sheets>
    <sheet name="TB_VENDAS" sheetId="2" r:id="rId1"/>
    <sheet name="DN_Vendas" sheetId="3" r:id="rId2"/>
    <sheet name="Dashboard" sheetId="4" r:id="rId3"/>
  </sheets>
  <definedNames>
    <definedName name="_xlcn.WorksheetConnection_Pasta1retail_sales_dataset1" hidden="1">retail_sales_dataset[]</definedName>
    <definedName name="DadosExternos_1" localSheetId="0" hidden="1">TB_VENDAS!$A$1:$I$1001</definedName>
    <definedName name="Timeline_Date">#N/A</definedName>
  </definedNames>
  <calcPr calcId="191029"/>
  <pivotCaches>
    <pivotCache cacheId="0" r:id="rId4"/>
    <pivotCache cacheId="1" r:id="rId5"/>
    <pivotCache cacheId="4" r:id="rId6"/>
    <pivotCache cacheId="5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6" r:id="rId8"/>
      </x15:timelineCachePivotCaches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ail_sales_dataset" name="retail_sales_dataset" connection="WorksheetConnection_Pasta1!retail_sales_dataset"/>
        </x15:modelTables>
        <x15:extLst>
          <ext xmlns:x16="http://schemas.microsoft.com/office/spreadsheetml/2014/11/main" uri="{9835A34E-60A6-4A7C-AAB8-D5F71C897F49}">
            <x16:modelTimeGroupings>
              <x16:modelTimeGrouping tableName="retail_sales_dataset" columnName="Date" columnId="Date">
                <x16:calculatedTimeColumn columnName="Date (Ano)" columnId="Date (Ano)" contentType="years" isSelected="0"/>
                <x16:calculatedTimeColumn columnName="Date (Trimestre)" columnId="Date (Trimestre)" contentType="quarters" isSelected="0"/>
                <x16:calculatedTimeColumn columnName="Date (Índice de Mês)" columnId="Date (Índice de Mês)" contentType="monthsindex" isSelected="1"/>
                <x16:calculatedTimeColumn columnName="Date (Mês)" columnId="Date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2" i="3" l="1"/>
  <c r="A21" i="3"/>
  <c r="A20" i="3"/>
  <c r="H7" i="4"/>
  <c r="D7" i="4"/>
  <c r="L7" i="4"/>
  <c r="B21" i="3"/>
  <c r="B20" i="3"/>
  <c r="C22" i="3"/>
  <c r="B22" i="3"/>
  <c r="C20" i="3"/>
  <c r="C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BA4E81-4EBD-4665-9DA3-67FA1128D468}" keepAlive="1" name="Consulta - retail_sales_dataset" description="Conexão com a consulta 'retail_sales_dataset' na pasta de trabalho." type="5" refreshedVersion="8" background="1" saveData="1">
    <dbPr connection="Provider=Microsoft.Mashup.OleDb.1;Data Source=$Workbook$;Location=retail_sales_dataset;Extended Properties=&quot;&quot;" command="SELECT * FROM [retail_sales_dataset]"/>
  </connection>
  <connection id="2" xr16:uid="{D9BAEB82-513B-460C-8763-460AE532434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062827B-832E-4C10-B62C-CA8BF65A1701}" name="WorksheetConnection_Pasta1!retail_sales_dataset" type="102" refreshedVersion="8" minRefreshableVersion="5">
    <extLst>
      <ext xmlns:x15="http://schemas.microsoft.com/office/spreadsheetml/2010/11/main" uri="{DE250136-89BD-433C-8126-D09CA5730AF9}">
        <x15:connection id="retail_sales_dataset">
          <x15:rangePr sourceName="_xlcn.WorksheetConnection_Pasta1retail_sales_dataset1"/>
        </x15:connection>
      </ext>
    </extLst>
  </connection>
</connections>
</file>

<file path=xl/sharedStrings.xml><?xml version="1.0" encoding="utf-8"?>
<sst xmlns="http://schemas.openxmlformats.org/spreadsheetml/2006/main" count="3047" uniqueCount="1040">
  <si>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</si>
  <si>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</si>
  <si>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</si>
  <si>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</si>
  <si>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</si>
  <si>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</si>
  <si>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</si>
  <si>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</si>
  <si>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</si>
  <si>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</si>
  <si>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</si>
  <si>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</si>
  <si>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</si>
  <si>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</si>
  <si>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</si>
  <si>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</si>
  <si>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</si>
  <si>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</si>
  <si>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</si>
  <si>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</si>
  <si>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</si>
  <si>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</si>
  <si>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</si>
  <si>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</si>
  <si>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</si>
  <si>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</si>
  <si>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</si>
  <si>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</si>
  <si>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</si>
  <si>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</si>
  <si>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</si>
  <si>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</si>
  <si>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</si>
  <si>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</si>
  <si>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</si>
  <si>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</si>
  <si>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</si>
  <si>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</si>
  <si>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</si>
  <si>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</si>
  <si>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</si>
  <si>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</si>
  <si>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</si>
  <si>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</si>
  <si>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</si>
  <si>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</si>
  <si>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</si>
  <si>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</si>
  <si>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</si>
  <si>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</si>
  <si>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</si>
  <si>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</si>
  <si>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</si>
  <si>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</si>
  <si>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</si>
  <si>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</si>
  <si>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</si>
  <si>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</si>
  <si>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</si>
  <si>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</si>
  <si>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</si>
  <si>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</si>
  <si>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</si>
  <si>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</si>
  <si>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</si>
  <si>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</si>
  <si>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</si>
  <si>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</si>
  <si>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</si>
  <si>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</si>
  <si>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</si>
  <si>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</si>
  <si>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</si>
  <si>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</si>
  <si>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</si>
  <si>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</si>
  <si>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</si>
  <si>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</si>
  <si>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</si>
  <si>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</si>
  <si>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</si>
  <si>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</si>
  <si>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</si>
  <si>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</si>
  <si>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</si>
  <si>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</si>
  <si>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</si>
  <si>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</si>
  <si>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</si>
  <si>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</si>
  <si>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</si>
  <si>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</si>
  <si>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</si>
  <si>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</si>
  <si>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</si>
  <si>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</si>
  <si>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</si>
  <si>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</si>
  <si>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</si>
  <si>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</si>
  <si>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</si>
  <si>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</si>
  <si>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</si>
  <si>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</si>
  <si>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</si>
  <si>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</si>
  <si>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</si>
  <si>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</si>
  <si>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</si>
  <si>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</si>
  <si>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</si>
  <si>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</si>
  <si>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</si>
  <si>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</si>
  <si>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</si>
  <si>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</si>
  <si>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</si>
  <si>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</si>
  <si>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</si>
  <si>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</si>
  <si>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</si>
  <si>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</si>
  <si>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</si>
  <si>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</si>
  <si>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</si>
  <si>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</si>
  <si>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</si>
  <si>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</si>
  <si>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</si>
  <si>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</si>
  <si>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</si>
  <si>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</si>
  <si>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</si>
  <si>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</si>
  <si>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</si>
  <si>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</si>
  <si>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</si>
  <si>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</si>
  <si>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</si>
  <si>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</si>
  <si>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</si>
  <si>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</si>
  <si>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</si>
  <si>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</si>
  <si>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</si>
  <si>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</si>
  <si>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</si>
  <si>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</si>
  <si>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</si>
  <si>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</si>
  <si>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</si>
  <si>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</si>
  <si>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</si>
  <si>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</si>
  <si>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</si>
  <si>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</si>
  <si>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</si>
  <si>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</si>
  <si>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</si>
  <si>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</si>
  <si>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</si>
  <si>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</si>
  <si>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</si>
  <si>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</si>
  <si>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</si>
  <si>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</si>
  <si>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</si>
  <si>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</si>
  <si>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</si>
  <si>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</si>
  <si>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</si>
  <si>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</si>
  <si>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</si>
  <si>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</si>
  <si>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</si>
  <si>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</si>
  <si>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</si>
  <si>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</si>
  <si>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</si>
  <si>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</si>
  <si>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</si>
  <si>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</si>
  <si>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</si>
  <si>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</si>
  <si>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</si>
  <si>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</si>
  <si>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</si>
  <si>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</si>
  <si>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</si>
  <si>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</si>
  <si>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</si>
  <si>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</si>
  <si>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</si>
  <si>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</si>
  <si>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</si>
  <si>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</si>
  <si>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</si>
  <si>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</si>
  <si>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</si>
  <si>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</si>
  <si>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</si>
  <si>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</si>
  <si>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</si>
  <si>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</si>
  <si>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</si>
  <si>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</si>
  <si>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</si>
  <si>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</si>
  <si>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</si>
  <si>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</si>
  <si>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</si>
  <si>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</si>
  <si>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</si>
  <si>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</si>
  <si>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</si>
  <si>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</si>
  <si>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</si>
  <si>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</si>
  <si>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</si>
  <si>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</si>
  <si>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</si>
  <si>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</si>
  <si>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</si>
  <si>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</si>
  <si>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</si>
  <si>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</si>
  <si>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</si>
  <si>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</si>
  <si>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</si>
  <si>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</si>
  <si>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</si>
  <si>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</si>
  <si>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</si>
  <si>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</si>
  <si>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</si>
  <si>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</si>
  <si>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</si>
  <si>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</si>
  <si>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</si>
  <si>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</si>
  <si>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</si>
  <si>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</si>
  <si>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</si>
  <si>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</si>
  <si>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</si>
  <si>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</si>
  <si>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</si>
  <si>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</si>
  <si>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</si>
  <si>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</si>
  <si>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</si>
  <si>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</si>
  <si>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</si>
  <si>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</si>
  <si>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</si>
  <si>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</si>
  <si>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</si>
  <si>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</si>
  <si>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</si>
  <si>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</si>
  <si>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</si>
  <si>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</si>
  <si>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</si>
  <si>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</si>
  <si>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</si>
  <si>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</si>
  <si>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</si>
  <si>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</si>
  <si>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</si>
  <si>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</si>
  <si>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</si>
  <si>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</si>
  <si>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</si>
  <si>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</si>
  <si>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</si>
  <si>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</si>
  <si>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</si>
  <si>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</si>
  <si>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</si>
  <si>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</si>
  <si>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</si>
  <si>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</si>
  <si>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</si>
  <si>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</si>
  <si>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</si>
  <si>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</si>
  <si>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</si>
  <si>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</si>
  <si>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</si>
  <si>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</si>
  <si>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</si>
  <si>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</si>
  <si>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</si>
  <si>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</si>
  <si>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</si>
  <si>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</si>
  <si>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</si>
  <si>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</si>
  <si>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</si>
  <si>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</si>
  <si>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</si>
  <si>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</si>
  <si>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</si>
  <si>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</si>
  <si>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</si>
  <si>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</si>
  <si>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</si>
  <si>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</si>
  <si>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</si>
  <si>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</si>
  <si>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</si>
  <si>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</si>
  <si>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</si>
  <si>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</si>
  <si>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</si>
  <si>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</si>
  <si>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</si>
  <si>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</si>
  <si>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</si>
  <si>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</si>
  <si>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</si>
  <si>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</si>
  <si>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</si>
  <si>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</si>
  <si>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</si>
  <si>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</si>
  <si>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</si>
  <si>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</si>
  <si>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</si>
  <si>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</si>
  <si>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</si>
  <si>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</si>
  <si>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</si>
  <si>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</si>
  <si>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</si>
  <si>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</si>
  <si>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</si>
  <si>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</si>
  <si>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</si>
  <si>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</si>
  <si>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</si>
  <si>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</si>
  <si>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</si>
  <si>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</si>
  <si>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</si>
  <si>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</si>
  <si>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</si>
  <si>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</si>
  <si>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</si>
  <si>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</si>
  <si>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</si>
  <si>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</si>
  <si>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</si>
  <si>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</si>
  <si>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</si>
  <si>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</si>
  <si>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</si>
  <si>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</si>
  <si>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</si>
  <si>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</si>
  <si>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</si>
  <si>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</si>
  <si>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</si>
  <si>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</si>
  <si>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</si>
  <si>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</si>
  <si>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</si>
  <si>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</si>
  <si>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</si>
  <si>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</si>
  <si>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</si>
  <si>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</si>
  <si>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</si>
  <si>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</si>
  <si>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</si>
  <si>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</si>
  <si>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</si>
  <si>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</si>
  <si>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</si>
  <si>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</si>
  <si>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</si>
  <si>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</si>
  <si>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</si>
  <si>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</si>
  <si>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</si>
  <si>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</si>
  <si>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</si>
  <si>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</si>
  <si>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</si>
  <si>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</si>
  <si>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</si>
  <si>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</si>
  <si>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</si>
  <si>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</si>
  <si>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</si>
  <si>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</si>
  <si>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</si>
  <si>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</si>
  <si>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</si>
  <si>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</si>
  <si>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</si>
  <si>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</si>
  <si>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</si>
  <si>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</si>
  <si>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</si>
  <si>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</si>
  <si>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</si>
  <si>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</si>
  <si>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</si>
  <si>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</si>
  <si>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</si>
  <si>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</si>
  <si>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</si>
  <si>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</si>
  <si>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</si>
  <si>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</si>
  <si>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</si>
  <si>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</si>
  <si>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</si>
  <si>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</si>
  <si>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</si>
  <si>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</si>
  <si>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</si>
  <si>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</si>
  <si>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</si>
  <si>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</si>
  <si>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</si>
  <si>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</si>
  <si>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</si>
  <si>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</si>
  <si>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</si>
  <si>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</si>
  <si>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</si>
  <si>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</si>
  <si>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</si>
  <si>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</si>
  <si>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</si>
  <si>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</si>
  <si>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</si>
  <si>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</si>
  <si>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</si>
  <si>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</si>
  <si>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</si>
  <si>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</si>
  <si>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</si>
  <si>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</si>
  <si>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</si>
  <si>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</si>
  <si>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</si>
  <si>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</si>
  <si>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</si>
  <si>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</si>
  <si>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</si>
  <si>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</si>
  <si>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</si>
  <si>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</si>
  <si>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</si>
  <si>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</si>
  <si>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</si>
  <si>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</si>
  <si>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</si>
  <si>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</si>
  <si>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</si>
  <si>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</si>
  <si>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</si>
  <si>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</si>
  <si>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</si>
  <si>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</si>
  <si>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</si>
  <si>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</si>
  <si>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</si>
  <si>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</si>
  <si>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</si>
  <si>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</si>
  <si>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</si>
  <si>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</si>
  <si>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</si>
  <si>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</si>
  <si>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</si>
  <si>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</si>
  <si>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</si>
  <si>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</si>
  <si>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</si>
  <si>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</si>
  <si>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</si>
  <si>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</si>
  <si>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</si>
  <si>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</si>
  <si>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</si>
  <si>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</si>
  <si>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</si>
  <si>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</si>
  <si>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</si>
  <si>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</si>
  <si>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</si>
  <si>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</si>
  <si>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</si>
  <si>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</si>
  <si>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</si>
  <si>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</si>
  <si>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</si>
  <si>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</si>
  <si>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</si>
  <si>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</si>
  <si>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</si>
  <si>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</si>
  <si>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</si>
  <si>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</si>
  <si>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</si>
  <si>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</si>
  <si>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</si>
  <si>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</si>
  <si>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</si>
  <si>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</si>
  <si>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</si>
  <si>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</si>
  <si>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</si>
  <si>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</si>
  <si>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</si>
  <si>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</si>
  <si>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</si>
  <si>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</si>
  <si>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</si>
  <si>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</si>
  <si>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</si>
  <si>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</si>
  <si>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</si>
  <si>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</si>
  <si>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</si>
  <si>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</si>
  <si>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</si>
  <si>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</si>
  <si>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</si>
  <si>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</si>
  <si>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</si>
  <si>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</si>
  <si>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</si>
  <si>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</si>
  <si>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</si>
  <si>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</si>
  <si>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</si>
  <si>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</si>
  <si>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</si>
  <si>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</si>
  <si>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</si>
  <si>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</si>
  <si>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</si>
  <si>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</si>
  <si>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</si>
  <si>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</si>
  <si>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</si>
  <si>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</si>
  <si>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</si>
  <si>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</si>
  <si>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</si>
  <si>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</si>
  <si>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</si>
  <si>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</si>
  <si>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</si>
  <si>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</si>
  <si>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</si>
  <si>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</si>
  <si>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</si>
  <si>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</si>
  <si>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</si>
  <si>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</si>
  <si>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</si>
  <si>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</si>
  <si>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</si>
  <si>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</si>
  <si>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</si>
  <si>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</si>
  <si>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</si>
  <si>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</si>
  <si>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</si>
  <si>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</si>
  <si>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</si>
  <si>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</si>
  <si>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</si>
  <si>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</si>
  <si>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</si>
  <si>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</si>
  <si>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</si>
  <si>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</si>
  <si>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</si>
  <si>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</si>
  <si>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</si>
  <si>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</si>
  <si>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</si>
  <si>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</si>
  <si>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</si>
  <si>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</si>
  <si>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</si>
  <si>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</si>
  <si>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</si>
  <si>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</si>
  <si>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</si>
  <si>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</si>
  <si>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</si>
  <si>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</si>
  <si>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</si>
  <si>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</si>
  <si>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</si>
  <si>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</si>
  <si>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</si>
  <si>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</si>
  <si>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</si>
  <si>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</si>
  <si>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</si>
  <si>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</si>
  <si>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</si>
  <si>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</si>
  <si>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</si>
  <si>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</si>
  <si>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</si>
  <si>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</si>
  <si>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</si>
  <si>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</si>
  <si>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</si>
  <si>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</si>
  <si>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</si>
  <si>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</si>
  <si>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</si>
  <si>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</si>
  <si>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</si>
  <si>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</si>
  <si>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</si>
  <si>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</si>
  <si>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</si>
  <si>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</si>
  <si>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</si>
  <si>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</si>
  <si>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</si>
  <si>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</si>
  <si>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</si>
  <si>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</si>
  <si>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</si>
  <si>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</si>
  <si>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</si>
  <si>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</si>
  <si>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</si>
  <si>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</si>
  <si>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</si>
  <si>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</si>
  <si>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</si>
  <si>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</si>
  <si>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</si>
  <si>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</si>
  <si>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</si>
  <si>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</si>
  <si>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</si>
  <si>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</si>
  <si>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</si>
  <si>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</si>
  <si>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</si>
  <si>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</si>
  <si>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</si>
  <si>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</si>
  <si>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</si>
  <si>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</si>
  <si>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</si>
  <si>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</si>
  <si>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</si>
  <si>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</si>
  <si>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</si>
  <si>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</si>
  <si>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</si>
  <si>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</si>
  <si>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</si>
  <si>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</si>
  <si>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</si>
  <si>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</si>
  <si>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</si>
  <si>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</si>
  <si>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</si>
  <si>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</si>
  <si>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</si>
  <si>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</si>
  <si>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</si>
  <si>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</si>
  <si>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</si>
  <si>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</si>
  <si>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</si>
  <si>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</si>
  <si>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</si>
  <si>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</si>
  <si>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</si>
  <si>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</si>
  <si>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</si>
  <si>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</si>
  <si>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</si>
  <si>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</si>
  <si>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</si>
  <si>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</si>
  <si>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</si>
  <si>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</si>
  <si>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</si>
  <si>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</si>
  <si>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</si>
  <si>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</si>
  <si>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</si>
  <si>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</si>
  <si>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</si>
  <si>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</si>
  <si>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</si>
  <si>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</si>
  <si>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</si>
  <si>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</si>
  <si>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</si>
  <si>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</si>
  <si>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</si>
  <si>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</si>
  <si>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</si>
  <si>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</si>
  <si>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</si>
  <si>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</si>
  <si>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</si>
  <si>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</si>
  <si>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</si>
  <si>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</si>
  <si>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</si>
  <si>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</si>
  <si>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</si>
  <si>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</si>
  <si>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</si>
  <si>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</si>
  <si>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</si>
  <si>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</si>
  <si>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</si>
  <si>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</si>
  <si>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</si>
  <si>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</si>
  <si>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</si>
  <si>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</si>
  <si>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</si>
  <si>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</si>
  <si>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</si>
  <si>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</si>
  <si>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</si>
  <si>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</si>
  <si>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</si>
  <si>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</si>
  <si>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</si>
  <si>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</si>
  <si>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</si>
  <si>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</si>
  <si>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</si>
  <si>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</si>
  <si>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</si>
  <si>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</si>
  <si>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</si>
  <si>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</si>
  <si>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</si>
  <si>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</si>
  <si>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</si>
  <si>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</si>
  <si>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</si>
  <si>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</si>
  <si>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</si>
  <si>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</si>
  <si>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</si>
  <si>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</si>
  <si>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</si>
  <si>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</si>
  <si>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</si>
  <si>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</si>
  <si>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</si>
  <si>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</si>
  <si>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</si>
  <si>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</si>
  <si>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</si>
  <si>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</si>
  <si>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</si>
  <si>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</si>
  <si>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</si>
  <si>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</si>
  <si>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</si>
  <si>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</si>
  <si>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</si>
  <si>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</si>
  <si>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</si>
  <si>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</si>
  <si>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</si>
  <si>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</si>
  <si>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</si>
  <si>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</si>
  <si>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</si>
  <si>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</si>
  <si>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</si>
  <si>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</si>
  <si>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</si>
  <si>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</si>
  <si>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</si>
  <si>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</si>
  <si>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</si>
  <si>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</si>
  <si>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</si>
  <si>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</si>
  <si>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</si>
  <si>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</si>
  <si>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</si>
  <si>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</si>
  <si>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</si>
  <si>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</si>
  <si>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</si>
  <si>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</si>
  <si>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</si>
  <si>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</si>
  <si>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</si>
  <si>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</si>
  <si>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</si>
  <si>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</si>
  <si>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</si>
  <si>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</si>
  <si>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</si>
  <si>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</si>
  <si>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</si>
  <si>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</si>
  <si>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</si>
  <si>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</si>
  <si>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</si>
  <si>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</si>
  <si>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</si>
  <si>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</si>
  <si>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</si>
  <si>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</si>
  <si>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</si>
  <si>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</si>
  <si>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</si>
  <si>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</si>
  <si>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</si>
  <si>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</si>
  <si>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</si>
  <si>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</si>
  <si>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</si>
  <si>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</si>
  <si>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</si>
  <si>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</si>
  <si>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</si>
  <si>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</si>
  <si>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</si>
  <si>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</si>
  <si>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</si>
  <si>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</si>
  <si>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</si>
  <si>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</si>
  <si>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</si>
  <si>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</si>
  <si>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</si>
  <si>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</si>
  <si>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</si>
  <si>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</si>
  <si>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</si>
  <si>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</si>
  <si>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</si>
  <si>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</si>
  <si>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</si>
  <si>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</si>
  <si>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</si>
  <si>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</si>
  <si>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</si>
  <si>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</si>
  <si>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</si>
  <si>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</si>
  <si>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</si>
  <si>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</si>
  <si>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</si>
  <si>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</si>
  <si>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</si>
  <si>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</si>
  <si>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</si>
  <si>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</si>
  <si>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</si>
  <si>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</si>
  <si>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</si>
  <si>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</si>
  <si>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</si>
  <si>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</si>
  <si>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</si>
  <si>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</si>
  <si>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</si>
  <si>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</si>
  <si>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</si>
  <si>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</si>
  <si>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</si>
  <si>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</si>
  <si>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</si>
  <si>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</si>
  <si>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</si>
  <si>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</si>
  <si>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</si>
  <si>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</si>
  <si>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</si>
  <si>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</si>
  <si>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</si>
  <si>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</si>
  <si>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</si>
  <si>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</si>
  <si>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</si>
  <si>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</si>
  <si>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</si>
  <si>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</si>
  <si>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</si>
  <si>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</si>
  <si>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</si>
  <si>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</si>
  <si>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</si>
  <si>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</si>
  <si>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</si>
  <si>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</si>
  <si>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</si>
  <si>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</si>
  <si>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</si>
  <si>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</si>
  <si>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</si>
  <si>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</si>
  <si>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</si>
  <si>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</si>
  <si>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</si>
  <si>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</si>
  <si>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</si>
  <si>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</si>
  <si>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</si>
  <si>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</si>
  <si>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</si>
  <si>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</si>
  <si>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</si>
  <si>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</si>
  <si>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</si>
  <si>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</si>
  <si>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</si>
  <si>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</si>
  <si>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</si>
  <si>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</si>
  <si>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</si>
  <si>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</si>
  <si>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</si>
  <si>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</si>
  <si>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</si>
  <si>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</si>
  <si>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</si>
  <si>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</si>
  <si>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</si>
  <si>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</si>
  <si>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</si>
  <si>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</si>
  <si>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</si>
  <si>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</si>
  <si>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</si>
  <si>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</si>
  <si>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</si>
  <si>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</si>
  <si>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</si>
  <si>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</si>
  <si>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</si>
  <si>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</si>
  <si>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</si>
  <si>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</si>
  <si>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</si>
  <si>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</si>
  <si>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</si>
  <si>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</si>
  <si>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</si>
  <si>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</si>
  <si>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</si>
  <si>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</si>
  <si>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</si>
  <si>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</si>
  <si>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</si>
  <si>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</si>
  <si>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</si>
  <si>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</si>
  <si>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</si>
  <si>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</si>
  <si>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</si>
  <si>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</si>
  <si>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</si>
  <si>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</si>
  <si>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</si>
  <si>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</si>
  <si>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</si>
  <si>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</si>
  <si>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</si>
  <si>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</si>
  <si>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</si>
  <si>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</si>
  <si>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</si>
  <si>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</si>
  <si>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</si>
  <si>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</si>
  <si>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</si>
  <si>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</si>
  <si>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</si>
  <si>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</si>
  <si>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</si>
  <si>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</si>
  <si>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</si>
  <si>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</si>
  <si>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</si>
  <si>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</si>
  <si>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</si>
  <si>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</si>
  <si>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</si>
  <si>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</si>
  <si>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</si>
  <si>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</si>
  <si>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</si>
  <si>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</si>
  <si>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</si>
  <si>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</si>
  <si>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</si>
  <si>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</si>
  <si>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</si>
  <si>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</si>
  <si>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Rótulos de Linha</t>
  </si>
  <si>
    <t>Total Geral</t>
  </si>
  <si>
    <t>jan</t>
  </si>
  <si>
    <t>jul</t>
  </si>
  <si>
    <t>SomaVendas</t>
  </si>
  <si>
    <t>Categorias</t>
  </si>
  <si>
    <t>Restante</t>
  </si>
  <si>
    <t>VENDAS MENSAIS</t>
  </si>
  <si>
    <t>Soma de Quantidade</t>
  </si>
  <si>
    <t>Ranking de Vendas</t>
  </si>
  <si>
    <t>fev</t>
  </si>
  <si>
    <t>mar</t>
  </si>
  <si>
    <t>abr</t>
  </si>
  <si>
    <t>mai</t>
  </si>
  <si>
    <t>jun</t>
  </si>
  <si>
    <t>ago</t>
  </si>
  <si>
    <t>set</t>
  </si>
  <si>
    <t>out</t>
  </si>
  <si>
    <t>nov</t>
  </si>
  <si>
    <t>dez</t>
  </si>
  <si>
    <t>TOTAL DE VENDAS</t>
  </si>
  <si>
    <t>TicketMedio</t>
  </si>
  <si>
    <t>TICKET MÉDIO</t>
  </si>
  <si>
    <t>QuantVendas</t>
  </si>
  <si>
    <t>Categorias em percentual</t>
  </si>
  <si>
    <t>QUANT.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</si>
</sst>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%;\-0%;0%"/>
    <numFmt numFmtId="165" formatCode="0.0%"/>
    <numFmt numFmtId="166" formatCode="_-[$$-409]* #,##0.00_ ;_-[$$-409]* \-#,##0.00\ ;_-[$$-409]* &quot;-&quot;??_ ;_-@_ "/>
    <numFmt numFmtId="167" formatCode="[$$-409]#,##0"/>
    <numFmt numFmtId="168" formatCode="[$$-409]#,##0.00"/>
    <numFmt numFmtId="169" formatCode="\$#,##0.000;\(\$#,##0.000\);\$#,##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7" tint="-0.249977111117893"/>
      <name val="Arial Black"/>
      <family val="2"/>
    </font>
    <font>
      <sz val="11"/>
      <color theme="4"/>
      <name val="Arial Black"/>
      <family val="2"/>
    </font>
    <font>
      <b/>
      <sz val="20"/>
      <color theme="3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2"/>
      <color theme="4"/>
      <name val="Arial Black"/>
      <family val="2"/>
    </font>
    <font>
      <b/>
      <sz val="18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1" applyFont="1"/>
    <xf numFmtId="0" fontId="2" fillId="0" borderId="0" xfId="0" applyFont="1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166" fontId="5" fillId="0" borderId="1" xfId="2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166" fontId="6" fillId="0" borderId="3" xfId="0" applyNumberFormat="1" applyFont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166" fontId="6" fillId="0" borderId="5" xfId="0" applyNumberFormat="1" applyFont="1" applyBorder="1" applyAlignment="1">
      <alignment horizontal="center"/>
    </xf>
    <xf numFmtId="166" fontId="6" fillId="0" borderId="6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7">
    <dxf>
      <numFmt numFmtId="168" formatCode="[$$-409]#,##0.00"/>
    </dxf>
    <dxf>
      <numFmt numFmtId="165" formatCode="0.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pivotCacheDefinition" Target="pivotCache/pivotCacheDefinition1.xml"/><Relationship Id="rId9" Type="http://schemas.microsoft.com/office/2011/relationships/timelineCache" Target="timelineCaches/timelineCach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[sales.xlsx]DN_Vendas!Tabela dinâmica5</c:name>
    <c:fmtId val="37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shade val="76000"/>
              </a:schemeClr>
            </a:solidFill>
            <a:ln w="9525">
              <a:solidFill>
                <a:schemeClr val="accent4">
                  <a:shade val="76000"/>
                </a:schemeClr>
              </a:solidFill>
            </a:ln>
            <a:effectLst/>
          </c:spPr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25400">
            <a:noFill/>
          </a:ln>
          <a:effectLst/>
        </c:spPr>
        <c:dLbl>
          <c:idx val="0"/>
          <c:layout>
            <c:manualLayout>
              <c:x val="6.9808027923210529E-3"/>
              <c:y val="-4.5197740112994378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25400">
            <a:noFill/>
          </a:ln>
          <a:effectLst/>
        </c:spPr>
        <c:dLbl>
          <c:idx val="0"/>
          <c:layout>
            <c:manualLayout>
              <c:x val="2.6178010471204188E-2"/>
              <c:y val="-1.6949152542372881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907238662695917E-2"/>
          <c:y val="3.0971115004067684E-2"/>
          <c:w val="0.85636196194387526"/>
          <c:h val="0.845793195144554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DN_Vendas!$G$4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DN_Vendas!$F$5:$F$17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DN_Vendas!$G$5:$G$17</c:f>
              <c:numCache>
                <c:formatCode>General</c:formatCode>
                <c:ptCount val="12"/>
                <c:pt idx="0">
                  <c:v>199</c:v>
                </c:pt>
                <c:pt idx="1">
                  <c:v>214</c:v>
                </c:pt>
                <c:pt idx="2">
                  <c:v>194</c:v>
                </c:pt>
                <c:pt idx="3">
                  <c:v>214</c:v>
                </c:pt>
                <c:pt idx="4">
                  <c:v>259</c:v>
                </c:pt>
                <c:pt idx="5">
                  <c:v>197</c:v>
                </c:pt>
                <c:pt idx="6">
                  <c:v>176</c:v>
                </c:pt>
                <c:pt idx="7">
                  <c:v>227</c:v>
                </c:pt>
                <c:pt idx="8">
                  <c:v>170</c:v>
                </c:pt>
                <c:pt idx="9">
                  <c:v>252</c:v>
                </c:pt>
                <c:pt idx="10">
                  <c:v>205</c:v>
                </c:pt>
                <c:pt idx="11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6-473C-92DE-E366A7201857}"/>
            </c:ext>
          </c:extLst>
        </c:ser>
        <c:ser>
          <c:idx val="1"/>
          <c:order val="1"/>
          <c:tx>
            <c:strRef>
              <c:f>DN_Vendas!$H$4</c:f>
              <c:strCache>
                <c:ptCount val="1"/>
                <c:pt idx="0">
                  <c:v>SomaVendas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 w="25400">
              <a:noFill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B7C-487A-B2B3-1AFAE7D5082C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B7C-487A-B2B3-1AFAE7D5082C}"/>
              </c:ext>
            </c:extLst>
          </c:dPt>
          <c:dLbls>
            <c:dLbl>
              <c:idx val="6"/>
              <c:layout>
                <c:manualLayout>
                  <c:x val="6.9808027923210529E-3"/>
                  <c:y val="-4.51977401129943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7C-487A-B2B3-1AFAE7D5082C}"/>
                </c:ext>
              </c:extLst>
            </c:dLbl>
            <c:dLbl>
              <c:idx val="7"/>
              <c:layout>
                <c:manualLayout>
                  <c:x val="2.6178010471204188E-2"/>
                  <c:y val="-1.69491525423728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7C-487A-B2B3-1AFAE7D5082C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DN_Vendas!$F$5:$F$17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DN_Vendas!$H$5:$H$17</c:f>
              <c:numCache>
                <c:formatCode>[$$-409]#,##0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86-473C-92DE-E366A72018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45036975"/>
        <c:axId val="1745035535"/>
      </c:barChart>
      <c:valAx>
        <c:axId val="174503553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5036975"/>
        <c:crosses val="max"/>
        <c:crossBetween val="between"/>
      </c:valAx>
      <c:catAx>
        <c:axId val="1745036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5035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[sales.xlsx]DN_Vendas!Tabela dinâmica8</c:name>
    <c:fmtId val="1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17666340094585"/>
          <c:y val="6.4814814814814811E-2"/>
          <c:w val="0.80572912256935625"/>
          <c:h val="0.842045056867891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DN_Vendas!$K$9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DN_Vendas!$J$10:$J$13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DN_Vendas!$K$10:$K$13</c:f>
              <c:numCache>
                <c:formatCode>[$$-409]#,##0.00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E-4068-A65B-F99BF7023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494143583"/>
        <c:axId val="1494160383"/>
      </c:barChart>
      <c:catAx>
        <c:axId val="14941435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4160383"/>
        <c:crosses val="autoZero"/>
        <c:auto val="1"/>
        <c:lblAlgn val="ctr"/>
        <c:lblOffset val="100"/>
        <c:noMultiLvlLbl val="0"/>
      </c:catAx>
      <c:valAx>
        <c:axId val="14941603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0000"/>
                  <a:lumOff val="9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crossAx val="149414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00" normalizeH="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DN_Vendas!$A$21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4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2C-4500-9E7D-5BEB0FCE31B5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2C-4500-9E7D-5BEB0FCE31B5}"/>
              </c:ext>
            </c:extLst>
          </c:dPt>
          <c:dLbls>
            <c:dLbl>
              <c:idx val="0"/>
              <c:layout>
                <c:manualLayout>
                  <c:x val="-0.22430480687397042"/>
                  <c:y val="8.49181204063174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6F40DE7-66B3-4D00-B7B7-9A20DF221503}" type="PERCENTAGE">
                      <a:rPr lang="en-US" sz="2000" baseline="0"/>
                      <a:pPr>
                        <a:defRPr sz="2000">
                          <a:solidFill>
                            <a:schemeClr val="bg1"/>
                          </a:solidFill>
                        </a:defRPr>
                      </a:pPr>
                      <a:t>[PORCENTAGEM]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32256292241442"/>
                      <c:h val="0.2352290398921620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02C-4500-9E7D-5BEB0FCE31B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2C-4500-9E7D-5BEB0FCE31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DN_Vendas!$B$21:$C$21</c:f>
              <c:numCache>
                <c:formatCode>0%</c:formatCode>
                <c:ptCount val="2"/>
                <c:pt idx="0">
                  <c:v>0.34118421052631581</c:v>
                </c:pt>
                <c:pt idx="1">
                  <c:v>0.65881578947368413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2C-4500-9E7D-5BEB0FCE31B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00" normalizeH="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DN_Vendas!$A$20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4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E4-4FB5-AF46-A3B2B8C9A713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E4-4FB5-AF46-A3B2B8C9A713}"/>
              </c:ext>
            </c:extLst>
          </c:dPt>
          <c:dLbls>
            <c:dLbl>
              <c:idx val="0"/>
              <c:layout>
                <c:manualLayout>
                  <c:x val="-0.21917013182340972"/>
                  <c:y val="4.7755635989102437E-2"/>
                </c:manualLayout>
              </c:layout>
              <c:tx>
                <c:rich>
                  <a:bodyPr/>
                  <a:lstStyle/>
                  <a:p>
                    <a:r>
                      <a:rPr lang="en-US" sz="1600" baseline="0"/>
                      <a:t>
</a:t>
                    </a:r>
                    <a:fld id="{1D8EC846-B000-4FAD-A64B-934565DDEBEA}" type="PERCENTAGE">
                      <a:rPr lang="en-US" sz="1800" baseline="0"/>
                      <a:pPr/>
                      <a:t>[PORCENTAGEM]</a:t>
                    </a:fld>
                    <a:endParaRPr lang="en-US" sz="1600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0936329588015"/>
                      <c:h val="0.2799226874046588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BE4-4FB5-AF46-A3B2B8C9A71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E4-4FB5-AF46-A3B2B8C9A7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DN_Vendas!$B$20:$C$20</c:f>
              <c:numCache>
                <c:formatCode>0%</c:formatCode>
                <c:ptCount val="2"/>
                <c:pt idx="0">
                  <c:v>0.31472587719298245</c:v>
                </c:pt>
                <c:pt idx="1">
                  <c:v>0.6852741228070176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E4-4FB5-AF46-A3B2B8C9A71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00" normalizeH="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DN_Vendas!$A$22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4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37-473D-B0E0-03FA50F5677D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37-473D-B0E0-03FA50F5677D}"/>
              </c:ext>
            </c:extLst>
          </c:dPt>
          <c:dLbls>
            <c:dLbl>
              <c:idx val="0"/>
              <c:layout>
                <c:manualLayout>
                  <c:x val="-0.21112629240965475"/>
                  <c:y val="7.777762434753790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E4E92AF-544B-4E45-8F12-25CE46D208D1}" type="PERCENTAGE">
                      <a:rPr lang="en-US" sz="1800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[PORCENTAGEM]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198800591495635"/>
                      <c:h val="0.286870505058053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F37-473D-B0E0-03FA50F5677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37-473D-B0E0-03FA50F567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DN_Vendas!$B$22:$C$22</c:f>
              <c:numCache>
                <c:formatCode>0%</c:formatCode>
                <c:ptCount val="2"/>
                <c:pt idx="0">
                  <c:v>0.34408991228070174</c:v>
                </c:pt>
                <c:pt idx="1">
                  <c:v>0.65591008771929826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37-473D-B0E0-03FA50F5677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1047749</xdr:colOff>
      <xdr:row>16</xdr:row>
      <xdr:rowOff>1</xdr:rowOff>
    </xdr:from>
    <xdr:to>
      <xdr:col>14</xdr:col>
      <xdr:colOff>600074</xdr:colOff>
      <xdr:row>27</xdr:row>
      <xdr:rowOff>152401</xdr:rowOff>
    </xdr:to>
    <xdr:graphicFrame macro="">
      <xdr:nvGraphicFramePr>
        <xdr:cNvPr id="2" name="vendasmensais">
          <a:extLst>
            <a:ext uri="{FF2B5EF4-FFF2-40B4-BE49-F238E27FC236}">
              <a16:creationId xmlns:a16="http://schemas.microsoft.com/office/drawing/2014/main" id="{76A2C2BD-73E0-FC6F-4F73-84F81EFC9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33</xdr:row>
      <xdr:rowOff>19050</xdr:rowOff>
    </xdr:from>
    <xdr:to>
      <xdr:col>8</xdr:col>
      <xdr:colOff>590550</xdr:colOff>
      <xdr:row>45</xdr:row>
      <xdr:rowOff>180975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3CE2C759-4CC2-8658-346D-D5C49489D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33</xdr:row>
      <xdr:rowOff>9524</xdr:rowOff>
    </xdr:from>
    <xdr:to>
      <xdr:col>12</xdr:col>
      <xdr:colOff>400051</xdr:colOff>
      <xdr:row>45</xdr:row>
      <xdr:rowOff>180975</xdr:rowOff>
    </xdr:to>
    <xdr:graphicFrame macro="">
      <xdr:nvGraphicFramePr>
        <xdr:cNvPr id="4" name="Gráfico 5">
          <a:extLst>
            <a:ext uri="{FF2B5EF4-FFF2-40B4-BE49-F238E27FC236}">
              <a16:creationId xmlns:a16="http://schemas.microsoft.com/office/drawing/2014/main" id="{1EF80875-4659-A160-111E-55540FAFB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380999</xdr:colOff>
      <xdr:row>33</xdr:row>
      <xdr:rowOff>9526</xdr:rowOff>
    </xdr:from>
    <xdr:to>
      <xdr:col>15</xdr:col>
      <xdr:colOff>209550</xdr:colOff>
      <xdr:row>45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0B8CD1F-D9A1-8E63-FC6F-F7C971372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157163</xdr:colOff>
      <xdr:row>33</xdr:row>
      <xdr:rowOff>4763</xdr:rowOff>
    </xdr:from>
    <xdr:to>
      <xdr:col>18</xdr:col>
      <xdr:colOff>0</xdr:colOff>
      <xdr:row>45</xdr:row>
      <xdr:rowOff>180975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6B62DFF8-7B4F-2A9C-76B5-CC6B75B9A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95248</xdr:colOff>
      <xdr:row>10</xdr:row>
      <xdr:rowOff>38101</xdr:rowOff>
    </xdr:from>
    <xdr:to>
      <xdr:col>15</xdr:col>
      <xdr:colOff>57150</xdr:colOff>
      <xdr:row>15</xdr:row>
      <xdr:rowOff>180975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0" name="Date">
              <a:extLst>
                <a:ext uri="{FF2B5EF4-FFF2-40B4-BE49-F238E27FC236}">
                  <a16:creationId xmlns:a16="http://schemas.microsoft.com/office/drawing/2014/main" id="{29618454-C2BA-49EF-9A45-45C6267B8E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8998" y="1943101"/>
              <a:ext cx="2400302" cy="1095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th" refreshedDate="46170.661227083336" backgroundQuery="1" createdVersion="8" refreshedVersion="8" minRefreshableVersion="3" recordCount="0" supportSubquery="1" supportAdvancedDrill="1" xr:uid="{3B24905E-04FA-4203-8B14-C9C9A1FE28E8}">
  <cacheSource type="external" connectionId="2"/>
  <cacheFields count="2">
    <cacheField name="[retail_sales_dataset].[Product Category].[Product Category]" caption="Product Category" numFmtId="0" hierarchy="5" level="1">
      <sharedItems count="3">
        <s v="Beauty"/>
        <s v="Clothing"/>
        <s v="Electronics"/>
      </sharedItems>
    </cacheField>
    <cacheField name="[Measures].[SomaVendas]" caption="SomaVendas" numFmtId="0" hierarchy="17" level="32767"/>
  </cacheFields>
  <cacheHierarchies count="25">
    <cacheHierarchy uniqueName="[retail_sales_dataset].[Transaction ID]" caption="Transaction ID" attribute="1" defaultMemberUniqueName="[retail_sales_dataset].[Transaction ID].[All]" allUniqueName="[retail_sales_dataset].[Transaction ID].[All]" dimensionUniqueName="[retail_sales_dataset]" displayFolder="" count="0" memberValueDatatype="20" unbalanced="0"/>
    <cacheHierarchy uniqueName="[retail_sales_dataset].[Date]" caption="Date" attribute="1" time="1" defaultMemberUniqueName="[retail_sales_dataset].[Date].[All]" allUniqueName="[retail_sales_dataset].[Date].[All]" dimensionUniqueName="[retail_sales_dataset]" displayFolder="" count="0" memberValueDatatype="7" unbalanced="0"/>
    <cacheHierarchy uniqueName="[retail_sales_dataset].[Customer ID]" caption="Customer ID" attribute="1" defaultMemberUniqueName="[retail_sales_dataset].[Customer ID].[All]" allUniqueName="[retail_sales_dataset].[Customer ID].[All]" dimensionUniqueName="[retail_sales_dataset]" displayFolder="" count="0" memberValueDatatype="130" unbalanced="0"/>
    <cacheHierarchy uniqueName="[retail_sales_dataset].[Gender]" caption="Gender" attribute="1" defaultMemberUniqueName="[retail_sales_dataset].[Gender].[All]" allUniqueName="[retail_sales_dataset].[Gender].[All]" dimensionUniqueName="[retail_sales_dataset]" displayFolder="" count="0" memberValueDatatype="130" unbalanced="0"/>
    <cacheHierarchy uniqueName="[retail_sales_dataset].[Age]" caption="Age" attribute="1" defaultMemberUniqueName="[retail_sales_dataset].[Age].[All]" allUniqueName="[retail_sales_dataset].[Age].[All]" dimensionUniqueName="[retail_sales_dataset]" displayFolder="" count="0" memberValueDatatype="20" unbalanced="0"/>
    <cacheHierarchy uniqueName="[retail_sales_dataset].[Product Category]" caption="Product Category" attribute="1" defaultMemberUniqueName="[retail_sales_dataset].[Product Category].[All]" allUniqueName="[retail_sales_dataset].[Product Category].[All]" dimensionUniqueName="[retail_sales_dataset]" displayFolder="" count="2" memberValueDatatype="130" unbalanced="0">
      <fieldsUsage count="2">
        <fieldUsage x="-1"/>
        <fieldUsage x="0"/>
      </fieldsUsage>
    </cacheHierarchy>
    <cacheHierarchy uniqueName="[retail_sales_dataset].[Quantity]" caption="Quantity" attribute="1" defaultMemberUniqueName="[retail_sales_dataset].[Quantity].[All]" allUniqueName="[retail_sales_dataset].[Quantity].[All]" dimensionUniqueName="[retail_sales_dataset]" displayFolder="" count="0" memberValueDatatype="20" unbalanced="0"/>
    <cacheHierarchy uniqueName="[retail_sales_dataset].[Price per Unit]" caption="Price per Unit" attribute="1" defaultMemberUniqueName="[retail_sales_dataset].[Price per Unit].[All]" allUniqueName="[retail_sales_dataset].[Price per Unit].[All]" dimensionUniqueName="[retail_sales_dataset]" displayFolder="" count="0" memberValueDatatype="20" unbalanced="0"/>
    <cacheHierarchy uniqueName="[retail_sales_dataset].[Total Amount]" caption="Total Amount" attribute="1" defaultMemberUniqueName="[retail_sales_dataset].[Total Amount].[All]" allUniqueName="[retail_sales_dataset].[Total Amount].[All]" dimensionUniqueName="[retail_sales_dataset]" displayFolder="" count="0" memberValueDatatype="20" unbalanced="0"/>
    <cacheHierarchy uniqueName="[retail_sales_dataset].[Date (Ano)]" caption="Date (Ano)" attribute="1" defaultMemberUniqueName="[retail_sales_dataset].[Date (Ano)].[All]" allUniqueName="[retail_sales_dataset].[Date (Ano)].[All]" dimensionUniqueName="[retail_sales_dataset]" displayFolder="" count="0" memberValueDatatype="130" unbalanced="0"/>
    <cacheHierarchy uniqueName="[retail_sales_dataset].[Date (Trimestre)]" caption="Date (Trimestre)" attribute="1" defaultMemberUniqueName="[retail_sales_dataset].[Date (Trimestre)].[All]" allUniqueName="[retail_sales_dataset].[Date (Trimestre)].[All]" dimensionUniqueName="[retail_sales_dataset]" displayFolder="" count="0" memberValueDatatype="130" unbalanced="0"/>
    <cacheHierarchy uniqueName="[retail_sales_dataset].[Date (Mês)]" caption="Date (Mês)" attribute="1" defaultMemberUniqueName="[retail_sales_dataset].[Date (Mês)].[All]" allUniqueName="[retail_sales_dataset].[Date (Mês)].[All]" dimensionUniqueName="[retail_sales_dataset]" displayFolder="" count="0" memberValueDatatype="130" unbalanced="0"/>
    <cacheHierarchy uniqueName="[retail_sales_dataset].[Date (Índice de Mês)]" caption="Date (Índice de Mês)" attribute="1" defaultMemberUniqueName="[retail_sales_dataset].[Date (Índice de Mês)].[All]" allUniqueName="[retail_sales_dataset].[Date (Índice de Mês)].[All]" dimensionUniqueName="[retail_sales_dataset]" displayFolder="" count="0" memberValueDatatype="20" unbalanced="0" hidden="1"/>
    <cacheHierarchy uniqueName="[Measures].[Soma de Total Amount]" caption="Soma de Total Amount" measure="1" displayFolder="" measureGroup="retail_sales_datase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Quantity]" caption="Soma de Quantity" measure="1" displayFolder="" measureGroup="retail_sales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Transaction ID]" caption="Soma de Transaction ID" measure="1" displayFolder="" measureGroup="retail_sales_datas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Total Amount]" caption="Contagem de Total Amount" measure="1" displayFolder="" measureGroup="retail_sales_datase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Vendas]" caption="SomaVendas" measure="1" displayFolder="" measureGroup="retail_sales_dataset" count="0" oneField="1">
      <fieldsUsage count="1">
        <fieldUsage x="1"/>
      </fieldsUsage>
    </cacheHierarchy>
    <cacheHierarchy uniqueName="[Measures].[TotalVendas]" caption="TotalVendas" measure="1" displayFolder="" measureGroup="retail_sales_dataset" count="0"/>
    <cacheHierarchy uniqueName="[Measures].[Categorias]" caption="Categorias" measure="1" displayFolder="" measureGroup="retail_sales_dataset" count="0"/>
    <cacheHierarchy uniqueName="[Measures].[Restante]" caption="Restante" measure="1" displayFolder="" measureGroup="retail_sales_dataset" count="0"/>
    <cacheHierarchy uniqueName="[Measures].[QuantVendas]" caption="QuantVendas" measure="1" displayFolder="" measureGroup="retail_sales_dataset" count="0"/>
    <cacheHierarchy uniqueName="[Measures].[TicketMedio]" caption="TicketMedio" measure="1" displayFolder="" measureGroup="retail_sales_dataset" count="0"/>
    <cacheHierarchy uniqueName="[Measures].[__XL_Count retail_sales_dataset]" caption="__XL_Count retail_sales_dataset" measure="1" displayFolder="" measureGroup="retail_sales_dataset" count="0" hidden="1"/>
    <cacheHierarchy uniqueName="[Measures].[__Não há medidas definidas]" caption="__Não há medidas definidas" measure="1" displayFolder="" count="0" hidden="1"/>
  </cacheHierarchies>
  <kpis count="0"/>
  <dimensions count="2">
    <dimension measure="1" name="Measures" uniqueName="[Measures]" caption="Measures"/>
    <dimension name="retail_sales_dataset" uniqueName="[retail_sales_dataset]" caption="retail_sales_dataset"/>
  </dimensions>
  <measureGroups count="1">
    <measureGroup name="retail_sales_dataset" caption="retail_sales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th" refreshedDate="46170.661228124998" backgroundQuery="1" createdVersion="8" refreshedVersion="8" minRefreshableVersion="3" recordCount="0" supportSubquery="1" supportAdvancedDrill="1" xr:uid="{ED22BA15-559F-4484-96B0-CFC5BE9BA611}">
  <cacheSource type="external" connectionId="2"/>
  <cacheFields count="4">
    <cacheField name="[retail_sales_dataset].[Product Category].[Product Category]" caption="Product Category" numFmtId="0" hierarchy="5" level="1">
      <sharedItems count="3">
        <s v="Beauty"/>
        <s v="Clothing"/>
        <s v="Electronics"/>
      </sharedItems>
    </cacheField>
    <cacheField name="[Measures].[SomaVendas]" caption="SomaVendas" numFmtId="0" hierarchy="17" level="32767"/>
    <cacheField name="[Measures].[Categorias]" caption="Categorias" numFmtId="0" hierarchy="19" level="32767"/>
    <cacheField name="[Measures].[Restante]" caption="Restante" numFmtId="0" hierarchy="20" level="32767"/>
  </cacheFields>
  <cacheHierarchies count="25">
    <cacheHierarchy uniqueName="[retail_sales_dataset].[Transaction ID]" caption="Transaction ID" attribute="1" defaultMemberUniqueName="[retail_sales_dataset].[Transaction ID].[All]" allUniqueName="[retail_sales_dataset].[Transaction ID].[All]" dimensionUniqueName="[retail_sales_dataset]" displayFolder="" count="0" memberValueDatatype="20" unbalanced="0"/>
    <cacheHierarchy uniqueName="[retail_sales_dataset].[Date]" caption="Date" attribute="1" time="1" defaultMemberUniqueName="[retail_sales_dataset].[Date].[All]" allUniqueName="[retail_sales_dataset].[Date].[All]" dimensionUniqueName="[retail_sales_dataset]" displayFolder="" count="0" memberValueDatatype="7" unbalanced="0"/>
    <cacheHierarchy uniqueName="[retail_sales_dataset].[Customer ID]" caption="Customer ID" attribute="1" defaultMemberUniqueName="[retail_sales_dataset].[Customer ID].[All]" allUniqueName="[retail_sales_dataset].[Customer ID].[All]" dimensionUniqueName="[retail_sales_dataset]" displayFolder="" count="0" memberValueDatatype="130" unbalanced="0"/>
    <cacheHierarchy uniqueName="[retail_sales_dataset].[Gender]" caption="Gender" attribute="1" defaultMemberUniqueName="[retail_sales_dataset].[Gender].[All]" allUniqueName="[retail_sales_dataset].[Gender].[All]" dimensionUniqueName="[retail_sales_dataset]" displayFolder="" count="0" memberValueDatatype="130" unbalanced="0"/>
    <cacheHierarchy uniqueName="[retail_sales_dataset].[Age]" caption="Age" attribute="1" defaultMemberUniqueName="[retail_sales_dataset].[Age].[All]" allUniqueName="[retail_sales_dataset].[Age].[All]" dimensionUniqueName="[retail_sales_dataset]" displayFolder="" count="0" memberValueDatatype="20" unbalanced="0"/>
    <cacheHierarchy uniqueName="[retail_sales_dataset].[Product Category]" caption="Product Category" attribute="1" defaultMemberUniqueName="[retail_sales_dataset].[Product Category].[All]" allUniqueName="[retail_sales_dataset].[Product Category].[All]" dimensionUniqueName="[retail_sales_dataset]" displayFolder="" count="2" memberValueDatatype="130" unbalanced="0">
      <fieldsUsage count="2">
        <fieldUsage x="-1"/>
        <fieldUsage x="0"/>
      </fieldsUsage>
    </cacheHierarchy>
    <cacheHierarchy uniqueName="[retail_sales_dataset].[Quantity]" caption="Quantity" attribute="1" defaultMemberUniqueName="[retail_sales_dataset].[Quantity].[All]" allUniqueName="[retail_sales_dataset].[Quantity].[All]" dimensionUniqueName="[retail_sales_dataset]" displayFolder="" count="0" memberValueDatatype="20" unbalanced="0"/>
    <cacheHierarchy uniqueName="[retail_sales_dataset].[Price per Unit]" caption="Price per Unit" attribute="1" defaultMemberUniqueName="[retail_sales_dataset].[Price per Unit].[All]" allUniqueName="[retail_sales_dataset].[Price per Unit].[All]" dimensionUniqueName="[retail_sales_dataset]" displayFolder="" count="0" memberValueDatatype="20" unbalanced="0"/>
    <cacheHierarchy uniqueName="[retail_sales_dataset].[Total Amount]" caption="Total Amount" attribute="1" defaultMemberUniqueName="[retail_sales_dataset].[Total Amount].[All]" allUniqueName="[retail_sales_dataset].[Total Amount].[All]" dimensionUniqueName="[retail_sales_dataset]" displayFolder="" count="0" memberValueDatatype="20" unbalanced="0"/>
    <cacheHierarchy uniqueName="[retail_sales_dataset].[Date (Ano)]" caption="Date (Ano)" attribute="1" defaultMemberUniqueName="[retail_sales_dataset].[Date (Ano)].[All]" allUniqueName="[retail_sales_dataset].[Date (Ano)].[All]" dimensionUniqueName="[retail_sales_dataset]" displayFolder="" count="0" memberValueDatatype="130" unbalanced="0"/>
    <cacheHierarchy uniqueName="[retail_sales_dataset].[Date (Trimestre)]" caption="Date (Trimestre)" attribute="1" defaultMemberUniqueName="[retail_sales_dataset].[Date (Trimestre)].[All]" allUniqueName="[retail_sales_dataset].[Date (Trimestre)].[All]" dimensionUniqueName="[retail_sales_dataset]" displayFolder="" count="0" memberValueDatatype="130" unbalanced="0"/>
    <cacheHierarchy uniqueName="[retail_sales_dataset].[Date (Mês)]" caption="Date (Mês)" attribute="1" defaultMemberUniqueName="[retail_sales_dataset].[Date (Mês)].[All]" allUniqueName="[retail_sales_dataset].[Date (Mês)].[All]" dimensionUniqueName="[retail_sales_dataset]" displayFolder="" count="0" memberValueDatatype="130" unbalanced="0"/>
    <cacheHierarchy uniqueName="[retail_sales_dataset].[Date (Índice de Mês)]" caption="Date (Índice de Mês)" attribute="1" defaultMemberUniqueName="[retail_sales_dataset].[Date (Índice de Mês)].[All]" allUniqueName="[retail_sales_dataset].[Date (Índice de Mês)].[All]" dimensionUniqueName="[retail_sales_dataset]" displayFolder="" count="0" memberValueDatatype="20" unbalanced="0" hidden="1"/>
    <cacheHierarchy uniqueName="[Measures].[Soma de Total Amount]" caption="Soma de Total Amount" measure="1" displayFolder="" measureGroup="retail_sales_datase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Quantity]" caption="Soma de Quantity" measure="1" displayFolder="" measureGroup="retail_sales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Transaction ID]" caption="Soma de Transaction ID" measure="1" displayFolder="" measureGroup="retail_sales_datas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Total Amount]" caption="Contagem de Total Amount" measure="1" displayFolder="" measureGroup="retail_sales_datase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Vendas]" caption="SomaVendas" measure="1" displayFolder="" measureGroup="retail_sales_dataset" count="0" oneField="1">
      <fieldsUsage count="1">
        <fieldUsage x="1"/>
      </fieldsUsage>
    </cacheHierarchy>
    <cacheHierarchy uniqueName="[Measures].[TotalVendas]" caption="TotalVendas" measure="1" displayFolder="" measureGroup="retail_sales_dataset" count="0"/>
    <cacheHierarchy uniqueName="[Measures].[Categorias]" caption="Categorias" measure="1" displayFolder="" measureGroup="retail_sales_dataset" count="0" oneField="1">
      <fieldsUsage count="1">
        <fieldUsage x="2"/>
      </fieldsUsage>
    </cacheHierarchy>
    <cacheHierarchy uniqueName="[Measures].[Restante]" caption="Restante" measure="1" displayFolder="" measureGroup="retail_sales_dataset" count="0" oneField="1">
      <fieldsUsage count="1">
        <fieldUsage x="3"/>
      </fieldsUsage>
    </cacheHierarchy>
    <cacheHierarchy uniqueName="[Measures].[QuantVendas]" caption="QuantVendas" measure="1" displayFolder="" measureGroup="retail_sales_dataset" count="0"/>
    <cacheHierarchy uniqueName="[Measures].[TicketMedio]" caption="TicketMedio" measure="1" displayFolder="" measureGroup="retail_sales_dataset" count="0"/>
    <cacheHierarchy uniqueName="[Measures].[__XL_Count retail_sales_dataset]" caption="__XL_Count retail_sales_dataset" measure="1" displayFolder="" measureGroup="retail_sales_dataset" count="0" hidden="1"/>
    <cacheHierarchy uniqueName="[Measures].[__Não há medidas definidas]" caption="__Não há medidas definidas" measure="1" displayFolder="" count="0" hidden="1"/>
  </cacheHierarchies>
  <kpis count="0"/>
  <dimensions count="2">
    <dimension measure="1" name="Measures" uniqueName="[Measures]" caption="Measures"/>
    <dimension name="retail_sales_dataset" uniqueName="[retail_sales_dataset]" caption="retail_sales_dataset"/>
  </dimensions>
  <measureGroups count="1">
    <measureGroup name="retail_sales_dataset" caption="retail_sales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th" refreshedDate="46170.672714930559" backgroundQuery="1" createdVersion="8" refreshedVersion="8" minRefreshableVersion="3" recordCount="0" supportSubquery="1" supportAdvancedDrill="1" xr:uid="{07D13CBA-FACE-43F3-9BD9-20AD3EDB893A}">
  <cacheSource type="external" connectionId="2"/>
  <cacheFields count="2">
    <cacheField name="[Measures].[TicketMedio]" caption="TicketMedio" numFmtId="0" hierarchy="22" level="32767"/>
    <cacheField name="[Measures].[QuantVendas]" caption="QuantVendas" numFmtId="0" hierarchy="21" level="32767"/>
  </cacheFields>
  <cacheHierarchies count="25">
    <cacheHierarchy uniqueName="[retail_sales_dataset].[Transaction ID]" caption="Transaction ID" attribute="1" defaultMemberUniqueName="[retail_sales_dataset].[Transaction ID].[All]" allUniqueName="[retail_sales_dataset].[Transaction ID].[All]" dimensionUniqueName="[retail_sales_dataset]" displayFolder="" count="0" memberValueDatatype="20" unbalanced="0"/>
    <cacheHierarchy uniqueName="[retail_sales_dataset].[Date]" caption="Date" attribute="1" time="1" defaultMemberUniqueName="[retail_sales_dataset].[Date].[All]" allUniqueName="[retail_sales_dataset].[Date].[All]" dimensionUniqueName="[retail_sales_dataset]" displayFolder="" count="2" memberValueDatatype="7" unbalanced="0"/>
    <cacheHierarchy uniqueName="[retail_sales_dataset].[Customer ID]" caption="Customer ID" attribute="1" defaultMemberUniqueName="[retail_sales_dataset].[Customer ID].[All]" allUniqueName="[retail_sales_dataset].[Customer ID].[All]" dimensionUniqueName="[retail_sales_dataset]" displayFolder="" count="0" memberValueDatatype="130" unbalanced="0"/>
    <cacheHierarchy uniqueName="[retail_sales_dataset].[Gender]" caption="Gender" attribute="1" defaultMemberUniqueName="[retail_sales_dataset].[Gender].[All]" allUniqueName="[retail_sales_dataset].[Gender].[All]" dimensionUniqueName="[retail_sales_dataset]" displayFolder="" count="0" memberValueDatatype="130" unbalanced="0"/>
    <cacheHierarchy uniqueName="[retail_sales_dataset].[Age]" caption="Age" attribute="1" defaultMemberUniqueName="[retail_sales_dataset].[Age].[All]" allUniqueName="[retail_sales_dataset].[Age].[All]" dimensionUniqueName="[retail_sales_dataset]" displayFolder="" count="0" memberValueDatatype="20" unbalanced="0"/>
    <cacheHierarchy uniqueName="[retail_sales_dataset].[Product Category]" caption="Product Category" attribute="1" defaultMemberUniqueName="[retail_sales_dataset].[Product Category].[All]" allUniqueName="[retail_sales_dataset].[Product Category].[All]" dimensionUniqueName="[retail_sales_dataset]" displayFolder="" count="0" memberValueDatatype="130" unbalanced="0"/>
    <cacheHierarchy uniqueName="[retail_sales_dataset].[Quantity]" caption="Quantity" attribute="1" defaultMemberUniqueName="[retail_sales_dataset].[Quantity].[All]" allUniqueName="[retail_sales_dataset].[Quantity].[All]" dimensionUniqueName="[retail_sales_dataset]" displayFolder="" count="0" memberValueDatatype="20" unbalanced="0"/>
    <cacheHierarchy uniqueName="[retail_sales_dataset].[Price per Unit]" caption="Price per Unit" attribute="1" defaultMemberUniqueName="[retail_sales_dataset].[Price per Unit].[All]" allUniqueName="[retail_sales_dataset].[Price per Unit].[All]" dimensionUniqueName="[retail_sales_dataset]" displayFolder="" count="0" memberValueDatatype="20" unbalanced="0"/>
    <cacheHierarchy uniqueName="[retail_sales_dataset].[Total Amount]" caption="Total Amount" attribute="1" defaultMemberUniqueName="[retail_sales_dataset].[Total Amount].[All]" allUniqueName="[retail_sales_dataset].[Total Amount].[All]" dimensionUniqueName="[retail_sales_dataset]" displayFolder="" count="0" memberValueDatatype="20" unbalanced="0"/>
    <cacheHierarchy uniqueName="[retail_sales_dataset].[Date (Ano)]" caption="Date (Ano)" attribute="1" defaultMemberUniqueName="[retail_sales_dataset].[Date (Ano)].[All]" allUniqueName="[retail_sales_dataset].[Date (Ano)].[All]" dimensionUniqueName="[retail_sales_dataset]" displayFolder="" count="0" memberValueDatatype="130" unbalanced="0"/>
    <cacheHierarchy uniqueName="[retail_sales_dataset].[Date (Trimestre)]" caption="Date (Trimestre)" attribute="1" defaultMemberUniqueName="[retail_sales_dataset].[Date (Trimestre)].[All]" allUniqueName="[retail_sales_dataset].[Date (Trimestre)].[All]" dimensionUniqueName="[retail_sales_dataset]" displayFolder="" count="0" memberValueDatatype="130" unbalanced="0"/>
    <cacheHierarchy uniqueName="[retail_sales_dataset].[Date (Mês)]" caption="Date (Mês)" attribute="1" defaultMemberUniqueName="[retail_sales_dataset].[Date (Mês)].[All]" allUniqueName="[retail_sales_dataset].[Date (Mês)].[All]" dimensionUniqueName="[retail_sales_dataset]" displayFolder="" count="2" memberValueDatatype="130" unbalanced="0"/>
    <cacheHierarchy uniqueName="[retail_sales_dataset].[Date (Índice de Mês)]" caption="Date (Índice de Mês)" attribute="1" defaultMemberUniqueName="[retail_sales_dataset].[Date (Índice de Mês)].[All]" allUniqueName="[retail_sales_dataset].[Date (Índice de Mês)].[All]" dimensionUniqueName="[retail_sales_dataset]" displayFolder="" count="0" memberValueDatatype="20" unbalanced="0" hidden="1"/>
    <cacheHierarchy uniqueName="[Measures].[Soma de Total Amount]" caption="Soma de Total Amount" measure="1" displayFolder="" measureGroup="retail_sales_datase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Quantity]" caption="Soma de Quantity" measure="1" displayFolder="" measureGroup="retail_sales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Transaction ID]" caption="Soma de Transaction ID" measure="1" displayFolder="" measureGroup="retail_sales_datas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Total Amount]" caption="Contagem de Total Amount" measure="1" displayFolder="" measureGroup="retail_sales_datase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Vendas]" caption="SomaVendas" measure="1" displayFolder="" measureGroup="retail_sales_dataset" count="0"/>
    <cacheHierarchy uniqueName="[Measures].[TotalVendas]" caption="TotalVendas" measure="1" displayFolder="" measureGroup="retail_sales_dataset" count="0"/>
    <cacheHierarchy uniqueName="[Measures].[Categorias]" caption="Categorias" measure="1" displayFolder="" measureGroup="retail_sales_dataset" count="0"/>
    <cacheHierarchy uniqueName="[Measures].[Restante]" caption="Restante" measure="1" displayFolder="" measureGroup="retail_sales_dataset" count="0"/>
    <cacheHierarchy uniqueName="[Measures].[QuantVendas]" caption="QuantVendas" measure="1" displayFolder="" measureGroup="retail_sales_dataset" count="0" oneField="1">
      <fieldsUsage count="1">
        <fieldUsage x="1"/>
      </fieldsUsage>
    </cacheHierarchy>
    <cacheHierarchy uniqueName="[Measures].[TicketMedio]" caption="TicketMedio" measure="1" displayFolder="" measureGroup="retail_sales_dataset" count="0" oneField="1">
      <fieldsUsage count="1">
        <fieldUsage x="0"/>
      </fieldsUsage>
    </cacheHierarchy>
    <cacheHierarchy uniqueName="[Measures].[__XL_Count retail_sales_dataset]" caption="__XL_Count retail_sales_dataset" measure="1" displayFolder="" measureGroup="retail_sales_dataset" count="0" hidden="1"/>
    <cacheHierarchy uniqueName="[Measures].[__Não há medidas definidas]" caption="__Não há medidas definidas" measure="1" displayFolder="" count="0" hidden="1"/>
  </cacheHierarchies>
  <kpis count="0"/>
  <dimensions count="2">
    <dimension measure="1" name="Measures" uniqueName="[Measures]" caption="Measures"/>
    <dimension name="retail_sales_dataset" uniqueName="[retail_sales_dataset]" caption="retail_sales_dataset"/>
  </dimensions>
  <measureGroups count="1">
    <measureGroup name="retail_sales_dataset" caption="retail_sales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th" refreshedDate="46170.683394097221" backgroundQuery="1" createdVersion="8" refreshedVersion="8" minRefreshableVersion="3" recordCount="0" supportSubquery="1" supportAdvancedDrill="1" xr:uid="{24D6D2F2-604D-48D2-B575-6E3365591A2C}">
  <cacheSource type="external" connectionId="2"/>
  <cacheFields count="3">
    <cacheField name="[retail_sales_dataset].[Date (Mês)].[Date (Mês)]" caption="Date (Mês)" numFmtId="0" hierarchy="11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Measures].[Soma de Quantity]" caption="Soma de Quantity" numFmtId="0" hierarchy="14" level="32767"/>
    <cacheField name="[Measures].[SomaVendas]" caption="SomaVendas" numFmtId="0" hierarchy="17" level="32767"/>
  </cacheFields>
  <cacheHierarchies count="25">
    <cacheHierarchy uniqueName="[retail_sales_dataset].[Transaction ID]" caption="Transaction ID" attribute="1" defaultMemberUniqueName="[retail_sales_dataset].[Transaction ID].[All]" allUniqueName="[retail_sales_dataset].[Transaction ID].[All]" dimensionUniqueName="[retail_sales_dataset]" displayFolder="" count="0" memberValueDatatype="20" unbalanced="0"/>
    <cacheHierarchy uniqueName="[retail_sales_dataset].[Date]" caption="Date" attribute="1" time="1" defaultMemberUniqueName="[retail_sales_dataset].[Date].[All]" allUniqueName="[retail_sales_dataset].[Date].[All]" dimensionUniqueName="[retail_sales_dataset]" displayFolder="" count="2" memberValueDatatype="7" unbalanced="0"/>
    <cacheHierarchy uniqueName="[retail_sales_dataset].[Customer ID]" caption="Customer ID" attribute="1" defaultMemberUniqueName="[retail_sales_dataset].[Customer ID].[All]" allUniqueName="[retail_sales_dataset].[Customer ID].[All]" dimensionUniqueName="[retail_sales_dataset]" displayFolder="" count="0" memberValueDatatype="130" unbalanced="0"/>
    <cacheHierarchy uniqueName="[retail_sales_dataset].[Gender]" caption="Gender" attribute="1" defaultMemberUniqueName="[retail_sales_dataset].[Gender].[All]" allUniqueName="[retail_sales_dataset].[Gender].[All]" dimensionUniqueName="[retail_sales_dataset]" displayFolder="" count="0" memberValueDatatype="130" unbalanced="0"/>
    <cacheHierarchy uniqueName="[retail_sales_dataset].[Age]" caption="Age" attribute="1" defaultMemberUniqueName="[retail_sales_dataset].[Age].[All]" allUniqueName="[retail_sales_dataset].[Age].[All]" dimensionUniqueName="[retail_sales_dataset]" displayFolder="" count="0" memberValueDatatype="20" unbalanced="0"/>
    <cacheHierarchy uniqueName="[retail_sales_dataset].[Product Category]" caption="Product Category" attribute="1" defaultMemberUniqueName="[retail_sales_dataset].[Product Category].[All]" allUniqueName="[retail_sales_dataset].[Product Category].[All]" dimensionUniqueName="[retail_sales_dataset]" displayFolder="" count="0" memberValueDatatype="130" unbalanced="0"/>
    <cacheHierarchy uniqueName="[retail_sales_dataset].[Quantity]" caption="Quantity" attribute="1" defaultMemberUniqueName="[retail_sales_dataset].[Quantity].[All]" allUniqueName="[retail_sales_dataset].[Quantity].[All]" dimensionUniqueName="[retail_sales_dataset]" displayFolder="" count="0" memberValueDatatype="20" unbalanced="0"/>
    <cacheHierarchy uniqueName="[retail_sales_dataset].[Price per Unit]" caption="Price per Unit" attribute="1" defaultMemberUniqueName="[retail_sales_dataset].[Price per Unit].[All]" allUniqueName="[retail_sales_dataset].[Price per Unit].[All]" dimensionUniqueName="[retail_sales_dataset]" displayFolder="" count="0" memberValueDatatype="20" unbalanced="0"/>
    <cacheHierarchy uniqueName="[retail_sales_dataset].[Total Amount]" caption="Total Amount" attribute="1" defaultMemberUniqueName="[retail_sales_dataset].[Total Amount].[All]" allUniqueName="[retail_sales_dataset].[Total Amount].[All]" dimensionUniqueName="[retail_sales_dataset]" displayFolder="" count="0" memberValueDatatype="20" unbalanced="0"/>
    <cacheHierarchy uniqueName="[retail_sales_dataset].[Date (Ano)]" caption="Date (Ano)" attribute="1" defaultMemberUniqueName="[retail_sales_dataset].[Date (Ano)].[All]" allUniqueName="[retail_sales_dataset].[Date (Ano)].[All]" dimensionUniqueName="[retail_sales_dataset]" displayFolder="" count="0" memberValueDatatype="130" unbalanced="0"/>
    <cacheHierarchy uniqueName="[retail_sales_dataset].[Date (Trimestre)]" caption="Date (Trimestre)" attribute="1" defaultMemberUniqueName="[retail_sales_dataset].[Date (Trimestre)].[All]" allUniqueName="[retail_sales_dataset].[Date (Trimestre)].[All]" dimensionUniqueName="[retail_sales_dataset]" displayFolder="" count="0" memberValueDatatype="130" unbalanced="0"/>
    <cacheHierarchy uniqueName="[retail_sales_dataset].[Date (Mês)]" caption="Date (Mês)" attribute="1" defaultMemberUniqueName="[retail_sales_dataset].[Date (Mês)].[All]" allUniqueName="[retail_sales_dataset].[Date (Mês)].[All]" dimensionUniqueName="[retail_sales_dataset]" displayFolder="" count="2" memberValueDatatype="130" unbalanced="0">
      <fieldsUsage count="2">
        <fieldUsage x="-1"/>
        <fieldUsage x="0"/>
      </fieldsUsage>
    </cacheHierarchy>
    <cacheHierarchy uniqueName="[retail_sales_dataset].[Date (Índice de Mês)]" caption="Date (Índice de Mês)" attribute="1" defaultMemberUniqueName="[retail_sales_dataset].[Date (Índice de Mês)].[All]" allUniqueName="[retail_sales_dataset].[Date (Índice de Mês)].[All]" dimensionUniqueName="[retail_sales_dataset]" displayFolder="" count="0" memberValueDatatype="20" unbalanced="0" hidden="1"/>
    <cacheHierarchy uniqueName="[Measures].[Soma de Total Amount]" caption="Soma de Total Amount" measure="1" displayFolder="" measureGroup="retail_sales_datase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Quantity]" caption="Soma de Quantity" measure="1" displayFolder="" measureGroup="retail_sales_datase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Transaction ID]" caption="Soma de Transaction ID" measure="1" displayFolder="" measureGroup="retail_sales_datas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Total Amount]" caption="Contagem de Total Amount" measure="1" displayFolder="" measureGroup="retail_sales_datase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Vendas]" caption="SomaVendas" measure="1" displayFolder="" measureGroup="retail_sales_dataset" count="0" oneField="1">
      <fieldsUsage count="1">
        <fieldUsage x="2"/>
      </fieldsUsage>
    </cacheHierarchy>
    <cacheHierarchy uniqueName="[Measures].[TotalVendas]" caption="TotalVendas" measure="1" displayFolder="" measureGroup="retail_sales_dataset" count="0"/>
    <cacheHierarchy uniqueName="[Measures].[Categorias]" caption="Categorias" measure="1" displayFolder="" measureGroup="retail_sales_dataset" count="0"/>
    <cacheHierarchy uniqueName="[Measures].[Restante]" caption="Restante" measure="1" displayFolder="" measureGroup="retail_sales_dataset" count="0"/>
    <cacheHierarchy uniqueName="[Measures].[QuantVendas]" caption="QuantVendas" measure="1" displayFolder="" measureGroup="retail_sales_dataset" count="0"/>
    <cacheHierarchy uniqueName="[Measures].[TicketMedio]" caption="TicketMedio" measure="1" displayFolder="" measureGroup="retail_sales_dataset" count="0"/>
    <cacheHierarchy uniqueName="[Measures].[__XL_Count retail_sales_dataset]" caption="__XL_Count retail_sales_dataset" measure="1" displayFolder="" measureGroup="retail_sales_dataset" count="0" hidden="1"/>
    <cacheHierarchy uniqueName="[Measures].[__Não há medidas definidas]" caption="__Não há medidas definidas" measure="1" displayFolder="" count="0" hidden="1"/>
  </cacheHierarchies>
  <kpis count="0"/>
  <dimensions count="2">
    <dimension measure="1" name="Measures" uniqueName="[Measures]" caption="Measures"/>
    <dimension name="retail_sales_dataset" uniqueName="[retail_sales_dataset]" caption="retail_sales_dataset"/>
  </dimensions>
  <measureGroups count="1">
    <measureGroup name="retail_sales_dataset" caption="retail_sales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th" refreshedDate="46170.661222800925" backgroundQuery="1" createdVersion="3" refreshedVersion="8" minRefreshableVersion="3" recordCount="0" supportSubquery="1" supportAdvancedDrill="1" xr:uid="{D0F2E394-99ED-4992-A6B7-350CAD986D06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5">
    <cacheHierarchy uniqueName="[retail_sales_dataset].[Transaction ID]" caption="Transaction ID" attribute="1" defaultMemberUniqueName="[retail_sales_dataset].[Transaction ID].[All]" allUniqueName="[retail_sales_dataset].[Transaction ID].[All]" dimensionUniqueName="[retail_sales_dataset]" displayFolder="" count="0" memberValueDatatype="20" unbalanced="0"/>
    <cacheHierarchy uniqueName="[retail_sales_dataset].[Date]" caption="Date" attribute="1" time="1" defaultMemberUniqueName="[retail_sales_dataset].[Date].[All]" allUniqueName="[retail_sales_dataset].[Date].[All]" dimensionUniqueName="[retail_sales_dataset]" displayFolder="" count="2" memberValueDatatype="7" unbalanced="0"/>
    <cacheHierarchy uniqueName="[retail_sales_dataset].[Customer ID]" caption="Customer ID" attribute="1" defaultMemberUniqueName="[retail_sales_dataset].[Customer ID].[All]" allUniqueName="[retail_sales_dataset].[Customer ID].[All]" dimensionUniqueName="[retail_sales_dataset]" displayFolder="" count="0" memberValueDatatype="130" unbalanced="0"/>
    <cacheHierarchy uniqueName="[retail_sales_dataset].[Gender]" caption="Gender" attribute="1" defaultMemberUniqueName="[retail_sales_dataset].[Gender].[All]" allUniqueName="[retail_sales_dataset].[Gender].[All]" dimensionUniqueName="[retail_sales_dataset]" displayFolder="" count="0" memberValueDatatype="130" unbalanced="0"/>
    <cacheHierarchy uniqueName="[retail_sales_dataset].[Age]" caption="Age" attribute="1" defaultMemberUniqueName="[retail_sales_dataset].[Age].[All]" allUniqueName="[retail_sales_dataset].[Age].[All]" dimensionUniqueName="[retail_sales_dataset]" displayFolder="" count="0" memberValueDatatype="20" unbalanced="0"/>
    <cacheHierarchy uniqueName="[retail_sales_dataset].[Product Category]" caption="Product Category" attribute="1" defaultMemberUniqueName="[retail_sales_dataset].[Product Category].[All]" allUniqueName="[retail_sales_dataset].[Product Category].[All]" dimensionUniqueName="[retail_sales_dataset]" displayFolder="" count="0" memberValueDatatype="130" unbalanced="0"/>
    <cacheHierarchy uniqueName="[retail_sales_dataset].[Quantity]" caption="Quantity" attribute="1" defaultMemberUniqueName="[retail_sales_dataset].[Quantity].[All]" allUniqueName="[retail_sales_dataset].[Quantity].[All]" dimensionUniqueName="[retail_sales_dataset]" displayFolder="" count="0" memberValueDatatype="20" unbalanced="0"/>
    <cacheHierarchy uniqueName="[retail_sales_dataset].[Price per Unit]" caption="Price per Unit" attribute="1" defaultMemberUniqueName="[retail_sales_dataset].[Price per Unit].[All]" allUniqueName="[retail_sales_dataset].[Price per Unit].[All]" dimensionUniqueName="[retail_sales_dataset]" displayFolder="" count="0" memberValueDatatype="20" unbalanced="0"/>
    <cacheHierarchy uniqueName="[retail_sales_dataset].[Total Amount]" caption="Total Amount" attribute="1" defaultMemberUniqueName="[retail_sales_dataset].[Total Amount].[All]" allUniqueName="[retail_sales_dataset].[Total Amount].[All]" dimensionUniqueName="[retail_sales_dataset]" displayFolder="" count="0" memberValueDatatype="20" unbalanced="0"/>
    <cacheHierarchy uniqueName="[retail_sales_dataset].[Date (Ano)]" caption="Date (Ano)" attribute="1" defaultMemberUniqueName="[retail_sales_dataset].[Date (Ano)].[All]" allUniqueName="[retail_sales_dataset].[Date (Ano)].[All]" dimensionUniqueName="[retail_sales_dataset]" displayFolder="" count="0" memberValueDatatype="130" unbalanced="0"/>
    <cacheHierarchy uniqueName="[retail_sales_dataset].[Date (Trimestre)]" caption="Date (Trimestre)" attribute="1" defaultMemberUniqueName="[retail_sales_dataset].[Date (Trimestre)].[All]" allUniqueName="[retail_sales_dataset].[Date (Trimestre)].[All]" dimensionUniqueName="[retail_sales_dataset]" displayFolder="" count="0" memberValueDatatype="130" unbalanced="0"/>
    <cacheHierarchy uniqueName="[retail_sales_dataset].[Date (Mês)]" caption="Date (Mês)" attribute="1" defaultMemberUniqueName="[retail_sales_dataset].[Date (Mês)].[All]" allUniqueName="[retail_sales_dataset].[Date (Mês)].[All]" dimensionUniqueName="[retail_sales_dataset]" displayFolder="" count="0" memberValueDatatype="130" unbalanced="0"/>
    <cacheHierarchy uniqueName="[retail_sales_dataset].[Date (Índice de Mês)]" caption="Date (Índice de Mês)" attribute="1" defaultMemberUniqueName="[retail_sales_dataset].[Date (Índice de Mês)].[All]" allUniqueName="[retail_sales_dataset].[Date (Índice de Mês)].[All]" dimensionUniqueName="[retail_sales_dataset]" displayFolder="" count="0" memberValueDatatype="20" unbalanced="0" hidden="1"/>
    <cacheHierarchy uniqueName="[Measures].[Soma de Total Amount]" caption="Soma de Total Amount" measure="1" displayFolder="" measureGroup="retail_sales_datase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Quantity]" caption="Soma de Quantity" measure="1" displayFolder="" measureGroup="retail_sales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Transaction ID]" caption="Soma de Transaction ID" measure="1" displayFolder="" measureGroup="retail_sales_datas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Total Amount]" caption="Contagem de Total Amount" measure="1" displayFolder="" measureGroup="retail_sales_datase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Vendas]" caption="SomaVendas" measure="1" displayFolder="" measureGroup="retail_sales_dataset" count="0"/>
    <cacheHierarchy uniqueName="[Measures].[TotalVendas]" caption="TotalVendas" measure="1" displayFolder="" measureGroup="retail_sales_dataset" count="0"/>
    <cacheHierarchy uniqueName="[Measures].[Categorias]" caption="Categorias" measure="1" displayFolder="" measureGroup="retail_sales_dataset" count="0"/>
    <cacheHierarchy uniqueName="[Measures].[Restante]" caption="Restante" measure="1" displayFolder="" measureGroup="retail_sales_dataset" count="0"/>
    <cacheHierarchy uniqueName="[Measures].[QuantVendas]" caption="QuantVendas" measure="1" displayFolder="" measureGroup="retail_sales_dataset" count="0"/>
    <cacheHierarchy uniqueName="[Measures].[TicketMedio]" caption="TicketMedio" measure="1" displayFolder="" measureGroup="retail_sales_dataset" count="0"/>
    <cacheHierarchy uniqueName="[Measures].[__XL_Count retail_sales_dataset]" caption="__XL_Count retail_sales_dataset" measure="1" displayFolder="" measureGroup="retail_sales_dataset" count="0" hidden="1"/>
    <cacheHierarchy uniqueName="[Measures].[__Não há medidas definidas]" caption="__Não há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3702053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21B2F-65B6-43E8-9D1F-40260070798B}" name="Tabela dinâmica8" cacheId="0" applyNumberFormats="0" applyBorderFormats="0" applyFontFormats="0" applyPatternFormats="0" applyAlignmentFormats="0" applyWidthHeightFormats="1" dataCaption="Valores" tag="7e2012ab-b076-4e19-9952-07e7915f5152" updatedVersion="8" minRefreshableVersion="3" useAutoFormatting="1" itemPrintTitles="1" createdVersion="8" indent="0" outline="1" outlineData="1" multipleFieldFilters="0" chartFormat="19">
  <location ref="J9:K13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 numFmtId="168"/>
  </dataFields>
  <chartFormats count="1"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_sales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CA5F5-DBDB-4E43-AB87-A811FDFDE5FA}" name="Tabela dinâmica5" cacheId="5" applyNumberFormats="0" applyBorderFormats="0" applyFontFormats="0" applyPatternFormats="0" applyAlignmentFormats="0" applyWidthHeightFormats="1" dataCaption="Valores" tag="78fbcda6-9bdf-47ed-b48d-74ad7d66388f" updatedVersion="8" minRefreshableVersion="5" useAutoFormatting="1" subtotalHiddenItems="1" itemPrintTitles="1" createdVersion="8" indent="0" outline="1" outlineData="1" multipleFieldFilters="0" chartFormat="38">
  <location ref="F4:H17" firstHeaderRow="0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1" baseField="0" baseItem="0"/>
    <dataField fld="2" subtotal="count" baseField="0" baseItem="1" numFmtId="167"/>
  </dataFields>
  <chartFormats count="4"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37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 caption="Soma de Quantidad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_sales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A4C09-90D8-4149-8F10-A721060DD0D0}" name="Tabela dinâmica1" cacheId="4" applyNumberFormats="0" applyBorderFormats="0" applyFontFormats="0" applyPatternFormats="0" applyAlignmentFormats="0" applyWidthHeightFormats="1" dataCaption="Valores" tag="5f32cbe7-1ec8-47fc-9742-05494f144bb8" updatedVersion="8" minRefreshableVersion="3" useAutoFormatting="1" itemPrintTitles="1" createdVersion="8" indent="0" outline="1" outlineData="1" multipleFieldFilters="0">
  <location ref="J17:K18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ntagem de Total Am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_sales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87535-0519-4645-ADE5-1F3E8F17CA8D}" name="Tabela dinâmica4" cacheId="1" applyNumberFormats="0" applyBorderFormats="0" applyFontFormats="0" applyPatternFormats="0" applyAlignmentFormats="0" applyWidthHeightFormats="1" dataCaption="Valores" tag="88168685-cdee-4820-b081-573d048af03e" updatedVersion="8" minRefreshableVersion="3" useAutoFormatting="1" itemPrintTitles="1" createdVersion="8" indent="0" outline="1" outlineData="1" multipleFieldFilters="0">
  <location ref="A13:D17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1" numFmtId="168"/>
    <dataField fld="2" subtotal="count" baseField="0" baseItem="0" numFmtId="165"/>
    <dataField fld="3" subtotal="count" baseField="0" baseItem="0"/>
  </dataFields>
  <formats count="3">
    <format dxfId="2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1">
      <pivotArea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_sales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756F06B-3EF3-469A-BDF0-384AEF9E500C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862E6F-B20C-403D-BD7E-DB9D3A3A1AAA}" name="retail_sales_dataset" displayName="retail_sales_dataset" ref="A1:I1001" tableType="queryTable" totalsRowShown="0">
  <autoFilter ref="A1:I1001" xr:uid="{B2862E6F-B20C-403D-BD7E-DB9D3A3A1AAA}"/>
  <tableColumns count="9">
    <tableColumn id="1" xr3:uid="{25CACC06-9BFA-4822-9458-82576C3BB7DB}" uniqueName="1" name="Transaction ID" queryTableFieldId="1"/>
    <tableColumn id="2" xr3:uid="{996BFF99-88B6-411B-A910-4D2F22A3925B}" uniqueName="2" name="Date" queryTableFieldId="2" dataDxfId="6"/>
    <tableColumn id="3" xr3:uid="{D3CC8499-F69F-4601-BA14-C0BE54E4C460}" uniqueName="3" name="Customer ID" queryTableFieldId="3" dataDxfId="5"/>
    <tableColumn id="4" xr3:uid="{DB5821FC-C144-4317-920F-E12CCCFD14DC}" uniqueName="4" name="Gender" queryTableFieldId="4" dataDxfId="4"/>
    <tableColumn id="5" xr3:uid="{0163EB5D-BF87-462E-8246-8F51A28B1CE8}" uniqueName="5" name="Age" queryTableFieldId="5"/>
    <tableColumn id="6" xr3:uid="{8DC88578-D6CF-4A85-BB36-AA36779ED7BE}" uniqueName="6" name="Product Category" queryTableFieldId="6" dataDxfId="3"/>
    <tableColumn id="7" xr3:uid="{3A170902-A3C6-469C-B397-62FE8BC1D5AB}" uniqueName="7" name="Quantity" queryTableFieldId="7"/>
    <tableColumn id="8" xr3:uid="{B2DB66CA-9E9A-4091-89D0-E95328DB422F}" uniqueName="8" name="Price per Unit" queryTableFieldId="8"/>
    <tableColumn id="9" xr3:uid="{9C880884-E522-4A86-8C14-97E5D8DE4E9F}" uniqueName="9" name="Total Amount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02C705D3-7ADA-4B2C-99EE-9FDF195203FA}" sourceName="[retail_sales_dataset].[Date]">
  <pivotTables>
    <pivotTable tabId="3" name="Tabela dinâmica5"/>
  </pivotTables>
  <state minimalRefreshVersion="6" lastRefreshVersion="6" pivotCacheId="37020530" filterType="unknown"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683AD7E0-F588-43A5-9006-39F03F16941B}" cache="Timeline_Date" caption="Date" showTimeLevel="0" showHorizontalScrollbar="0" level="2" selectionLevel="2" scrollPosition="2023-01-01T00:00:00" style="TimeSlicerStyleLight4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049E-5891-40D5-8CA2-3A402D4601CA}">
  <sheetPr>
    <tabColor theme="7" tint="0.59999389629810485"/>
  </sheetPr>
  <dimension ref="A1:I1001"/>
  <sheetViews>
    <sheetView workbookViewId="0">
      <selection activeCell="D6" sqref="D6"/>
    </sheetView>
  </sheetViews>
  <sheetFormatPr defaultRowHeight="15" x14ac:dyDescent="0.25"/>
  <cols>
    <col min="1" max="1" width="16.28515625" bestFit="1" customWidth="1"/>
    <col min="2" max="2" width="10.42578125" bestFit="1" customWidth="1"/>
    <col min="3" max="3" width="14.7109375" bestFit="1" customWidth="1"/>
    <col min="4" max="4" width="10" bestFit="1" customWidth="1"/>
    <col min="5" max="5" width="6.5703125" bestFit="1" customWidth="1"/>
    <col min="6" max="6" width="19" bestFit="1" customWidth="1"/>
    <col min="7" max="7" width="11" bestFit="1" customWidth="1"/>
    <col min="8" max="8" width="15.5703125" bestFit="1" customWidth="1"/>
    <col min="9" max="9" width="15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s="1">
        <v>44927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s="1">
        <v>44927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F379-EEE6-4FF8-B79D-B157769F6C91}">
  <sheetPr>
    <tabColor theme="7" tint="0.79998168889431442"/>
  </sheetPr>
  <dimension ref="A4:K22"/>
  <sheetViews>
    <sheetView zoomScale="96" zoomScaleNormal="96" workbookViewId="0">
      <selection activeCell="J16" sqref="J16"/>
    </sheetView>
  </sheetViews>
  <sheetFormatPr defaultRowHeight="15" x14ac:dyDescent="0.25"/>
  <cols>
    <col min="1" max="1" width="18.42578125" bestFit="1" customWidth="1"/>
    <col min="2" max="2" width="12.5703125" bestFit="1" customWidth="1"/>
    <col min="3" max="3" width="10.7109375" bestFit="1" customWidth="1"/>
    <col min="4" max="4" width="9.140625" bestFit="1" customWidth="1"/>
    <col min="5" max="6" width="18.42578125" bestFit="1" customWidth="1"/>
    <col min="7" max="7" width="19.85546875" bestFit="1" customWidth="1"/>
    <col min="8" max="8" width="12.5703125" bestFit="1" customWidth="1"/>
    <col min="9" max="10" width="12" bestFit="1" customWidth="1"/>
    <col min="11" max="12" width="13.140625" bestFit="1" customWidth="1"/>
    <col min="13" max="22" width="10.5703125" bestFit="1" customWidth="1"/>
    <col min="23" max="23" width="10.7109375" bestFit="1" customWidth="1"/>
    <col min="24" max="33" width="22.42578125" bestFit="1" customWidth="1"/>
    <col min="34" max="34" width="17" bestFit="1" customWidth="1"/>
    <col min="35" max="35" width="27.42578125" bestFit="1" customWidth="1"/>
    <col min="36" max="36" width="11.5703125" bestFit="1" customWidth="1"/>
    <col min="37" max="37" width="12.7109375" bestFit="1" customWidth="1"/>
    <col min="38" max="47" width="11.5703125" bestFit="1" customWidth="1"/>
    <col min="48" max="48" width="12.7109375" bestFit="1" customWidth="1"/>
    <col min="49" max="50" width="11.5703125" bestFit="1" customWidth="1"/>
    <col min="51" max="51" width="12.7109375" bestFit="1" customWidth="1"/>
    <col min="52" max="52" width="11.5703125" bestFit="1" customWidth="1"/>
    <col min="53" max="54" width="12.7109375" bestFit="1" customWidth="1"/>
    <col min="55" max="55" width="11.5703125" bestFit="1" customWidth="1"/>
    <col min="56" max="56" width="12.7109375" bestFit="1" customWidth="1"/>
    <col min="57" max="58" width="11.5703125" bestFit="1" customWidth="1"/>
    <col min="59" max="59" width="12.7109375" bestFit="1" customWidth="1"/>
    <col min="60" max="60" width="11.5703125" bestFit="1" customWidth="1"/>
    <col min="61" max="61" width="12.7109375" bestFit="1" customWidth="1"/>
    <col min="62" max="63" width="11.5703125" bestFit="1" customWidth="1"/>
    <col min="64" max="64" width="12.7109375" bestFit="1" customWidth="1"/>
    <col min="65" max="67" width="11.5703125" bestFit="1" customWidth="1"/>
    <col min="68" max="68" width="12.7109375" bestFit="1" customWidth="1"/>
    <col min="69" max="69" width="11.5703125" bestFit="1" customWidth="1"/>
    <col min="70" max="70" width="12.7109375" bestFit="1" customWidth="1"/>
    <col min="71" max="73" width="11.5703125" bestFit="1" customWidth="1"/>
    <col min="74" max="74" width="12.7109375" bestFit="1" customWidth="1"/>
    <col min="75" max="75" width="11.5703125" bestFit="1" customWidth="1"/>
    <col min="76" max="78" width="12.7109375" bestFit="1" customWidth="1"/>
    <col min="79" max="79" width="11.5703125" bestFit="1" customWidth="1"/>
    <col min="80" max="80" width="12.7109375" bestFit="1" customWidth="1"/>
    <col min="81" max="82" width="11.5703125" bestFit="1" customWidth="1"/>
    <col min="83" max="83" width="12.7109375" bestFit="1" customWidth="1"/>
    <col min="84" max="90" width="11.5703125" bestFit="1" customWidth="1"/>
    <col min="91" max="95" width="12.7109375" bestFit="1" customWidth="1"/>
    <col min="96" max="99" width="11.5703125" bestFit="1" customWidth="1"/>
    <col min="100" max="100" width="12.7109375" bestFit="1" customWidth="1"/>
    <col min="101" max="102" width="11.5703125" bestFit="1" customWidth="1"/>
    <col min="103" max="104" width="12.7109375" bestFit="1" customWidth="1"/>
    <col min="105" max="107" width="11.5703125" bestFit="1" customWidth="1"/>
    <col min="108" max="109" width="12.7109375" bestFit="1" customWidth="1"/>
    <col min="110" max="116" width="11.5703125" bestFit="1" customWidth="1"/>
    <col min="117" max="117" width="12.7109375" bestFit="1" customWidth="1"/>
    <col min="118" max="122" width="11.5703125" bestFit="1" customWidth="1"/>
    <col min="123" max="123" width="12.7109375" bestFit="1" customWidth="1"/>
    <col min="124" max="132" width="11.5703125" bestFit="1" customWidth="1"/>
    <col min="133" max="134" width="12.7109375" bestFit="1" customWidth="1"/>
    <col min="135" max="135" width="11.5703125" bestFit="1" customWidth="1"/>
    <col min="136" max="136" width="12.7109375" bestFit="1" customWidth="1"/>
    <col min="137" max="139" width="11.5703125" bestFit="1" customWidth="1"/>
    <col min="140" max="140" width="12.7109375" bestFit="1" customWidth="1"/>
    <col min="141" max="145" width="11.5703125" bestFit="1" customWidth="1"/>
    <col min="146" max="146" width="12.7109375" bestFit="1" customWidth="1"/>
    <col min="147" max="149" width="11.5703125" bestFit="1" customWidth="1"/>
    <col min="150" max="151" width="12.7109375" bestFit="1" customWidth="1"/>
    <col min="152" max="155" width="11.5703125" bestFit="1" customWidth="1"/>
    <col min="156" max="156" width="12.7109375" bestFit="1" customWidth="1"/>
    <col min="157" max="157" width="11.5703125" bestFit="1" customWidth="1"/>
    <col min="158" max="158" width="12.7109375" bestFit="1" customWidth="1"/>
    <col min="159" max="159" width="11.5703125" bestFit="1" customWidth="1"/>
    <col min="160" max="160" width="12.7109375" bestFit="1" customWidth="1"/>
    <col min="161" max="164" width="11.5703125" bestFit="1" customWidth="1"/>
    <col min="165" max="167" width="12.7109375" bestFit="1" customWidth="1"/>
    <col min="168" max="170" width="11.5703125" bestFit="1" customWidth="1"/>
    <col min="171" max="171" width="12.7109375" bestFit="1" customWidth="1"/>
    <col min="172" max="177" width="11.5703125" bestFit="1" customWidth="1"/>
    <col min="178" max="178" width="12.7109375" bestFit="1" customWidth="1"/>
    <col min="179" max="179" width="11.5703125" bestFit="1" customWidth="1"/>
    <col min="180" max="181" width="12.7109375" bestFit="1" customWidth="1"/>
    <col min="182" max="182" width="11.5703125" bestFit="1" customWidth="1"/>
    <col min="183" max="183" width="12.7109375" bestFit="1" customWidth="1"/>
    <col min="184" max="185" width="11.5703125" bestFit="1" customWidth="1"/>
    <col min="186" max="186" width="12.7109375" bestFit="1" customWidth="1"/>
    <col min="187" max="190" width="11.5703125" bestFit="1" customWidth="1"/>
    <col min="191" max="193" width="12.7109375" bestFit="1" customWidth="1"/>
    <col min="194" max="196" width="11.5703125" bestFit="1" customWidth="1"/>
    <col min="197" max="197" width="12.7109375" bestFit="1" customWidth="1"/>
    <col min="198" max="198" width="11.5703125" bestFit="1" customWidth="1"/>
    <col min="199" max="199" width="12.7109375" bestFit="1" customWidth="1"/>
    <col min="200" max="200" width="11.5703125" bestFit="1" customWidth="1"/>
    <col min="201" max="201" width="12.7109375" bestFit="1" customWidth="1"/>
    <col min="202" max="202" width="11.5703125" bestFit="1" customWidth="1"/>
    <col min="203" max="203" width="12.7109375" bestFit="1" customWidth="1"/>
    <col min="204" max="206" width="11.5703125" bestFit="1" customWidth="1"/>
    <col min="207" max="207" width="12.7109375" bestFit="1" customWidth="1"/>
    <col min="208" max="208" width="11.5703125" bestFit="1" customWidth="1"/>
    <col min="209" max="209" width="12.7109375" bestFit="1" customWidth="1"/>
    <col min="210" max="210" width="11.5703125" bestFit="1" customWidth="1"/>
    <col min="211" max="212" width="12.7109375" bestFit="1" customWidth="1"/>
    <col min="213" max="218" width="11.5703125" bestFit="1" customWidth="1"/>
    <col min="219" max="219" width="12.7109375" bestFit="1" customWidth="1"/>
    <col min="220" max="224" width="11.5703125" bestFit="1" customWidth="1"/>
    <col min="225" max="225" width="12.7109375" bestFit="1" customWidth="1"/>
    <col min="226" max="227" width="11.5703125" bestFit="1" customWidth="1"/>
    <col min="228" max="228" width="12.7109375" bestFit="1" customWidth="1"/>
    <col min="229" max="240" width="11.5703125" bestFit="1" customWidth="1"/>
    <col min="241" max="243" width="12.7109375" bestFit="1" customWidth="1"/>
    <col min="244" max="247" width="11.5703125" bestFit="1" customWidth="1"/>
    <col min="248" max="248" width="12.7109375" bestFit="1" customWidth="1"/>
    <col min="249" max="249" width="11.5703125" bestFit="1" customWidth="1"/>
    <col min="250" max="252" width="12.7109375" bestFit="1" customWidth="1"/>
    <col min="253" max="256" width="11.5703125" bestFit="1" customWidth="1"/>
    <col min="257" max="260" width="12.7109375" bestFit="1" customWidth="1"/>
    <col min="261" max="261" width="11.5703125" bestFit="1" customWidth="1"/>
    <col min="262" max="263" width="12.7109375" bestFit="1" customWidth="1"/>
    <col min="264" max="269" width="11.5703125" bestFit="1" customWidth="1"/>
    <col min="270" max="271" width="12.7109375" bestFit="1" customWidth="1"/>
    <col min="272" max="278" width="11.5703125" bestFit="1" customWidth="1"/>
    <col min="279" max="279" width="12.7109375" bestFit="1" customWidth="1"/>
    <col min="280" max="284" width="11.5703125" bestFit="1" customWidth="1"/>
    <col min="285" max="286" width="12.7109375" bestFit="1" customWidth="1"/>
    <col min="287" max="293" width="11.5703125" bestFit="1" customWidth="1"/>
    <col min="294" max="294" width="12.7109375" bestFit="1" customWidth="1"/>
    <col min="295" max="297" width="11.5703125" bestFit="1" customWidth="1"/>
    <col min="298" max="299" width="12.7109375" bestFit="1" customWidth="1"/>
    <col min="300" max="304" width="11.5703125" bestFit="1" customWidth="1"/>
    <col min="305" max="305" width="12.7109375" bestFit="1" customWidth="1"/>
    <col min="306" max="309" width="11.5703125" bestFit="1" customWidth="1"/>
    <col min="310" max="310" width="12.7109375" bestFit="1" customWidth="1"/>
    <col min="311" max="313" width="11.5703125" bestFit="1" customWidth="1"/>
    <col min="314" max="314" width="12.7109375" bestFit="1" customWidth="1"/>
    <col min="315" max="321" width="11.5703125" bestFit="1" customWidth="1"/>
    <col min="322" max="322" width="12.7109375" bestFit="1" customWidth="1"/>
    <col min="323" max="324" width="11.5703125" bestFit="1" customWidth="1"/>
    <col min="325" max="325" width="12.7109375" bestFit="1" customWidth="1"/>
    <col min="326" max="326" width="11.5703125" bestFit="1" customWidth="1"/>
    <col min="327" max="327" width="12.7109375" bestFit="1" customWidth="1"/>
    <col min="328" max="330" width="11.5703125" bestFit="1" customWidth="1"/>
    <col min="331" max="331" width="12.7109375" bestFit="1" customWidth="1"/>
    <col min="332" max="334" width="11.5703125" bestFit="1" customWidth="1"/>
    <col min="335" max="336" width="12.7109375" bestFit="1" customWidth="1"/>
    <col min="337" max="337" width="11.5703125" bestFit="1" customWidth="1"/>
    <col min="338" max="338" width="12.7109375" bestFit="1" customWidth="1"/>
    <col min="339" max="344" width="11.5703125" bestFit="1" customWidth="1"/>
    <col min="345" max="346" width="12.7109375" bestFit="1" customWidth="1"/>
    <col min="347" max="347" width="11.5703125" bestFit="1" customWidth="1"/>
    <col min="348" max="349" width="12.7109375" bestFit="1" customWidth="1"/>
    <col min="350" max="350" width="11.5703125" bestFit="1" customWidth="1"/>
    <col min="351" max="351" width="12.7109375" bestFit="1" customWidth="1"/>
    <col min="352" max="353" width="11.5703125" bestFit="1" customWidth="1"/>
    <col min="354" max="354" width="12.7109375" bestFit="1" customWidth="1"/>
    <col min="355" max="355" width="10.7109375" bestFit="1" customWidth="1"/>
  </cols>
  <sheetData>
    <row r="4" spans="1:11" x14ac:dyDescent="0.25">
      <c r="F4" s="2" t="s">
        <v>1014</v>
      </c>
      <c r="G4" t="s">
        <v>1022</v>
      </c>
      <c r="H4" t="s">
        <v>1018</v>
      </c>
    </row>
    <row r="5" spans="1:11" x14ac:dyDescent="0.25">
      <c r="F5" s="3" t="s">
        <v>1016</v>
      </c>
      <c r="G5">
        <v>199</v>
      </c>
      <c r="H5" s="8">
        <v>36980</v>
      </c>
    </row>
    <row r="6" spans="1:11" x14ac:dyDescent="0.25">
      <c r="F6" s="3" t="s">
        <v>1024</v>
      </c>
      <c r="G6">
        <v>214</v>
      </c>
      <c r="H6" s="8">
        <v>44060</v>
      </c>
    </row>
    <row r="7" spans="1:11" x14ac:dyDescent="0.25">
      <c r="F7" s="3" t="s">
        <v>1025</v>
      </c>
      <c r="G7">
        <v>194</v>
      </c>
      <c r="H7" s="8">
        <v>28990</v>
      </c>
    </row>
    <row r="8" spans="1:11" x14ac:dyDescent="0.25">
      <c r="F8" s="3" t="s">
        <v>1026</v>
      </c>
      <c r="G8">
        <v>214</v>
      </c>
      <c r="H8" s="8">
        <v>33870</v>
      </c>
    </row>
    <row r="9" spans="1:11" x14ac:dyDescent="0.25">
      <c r="F9" s="3" t="s">
        <v>1027</v>
      </c>
      <c r="G9">
        <v>259</v>
      </c>
      <c r="H9" s="8">
        <v>53150</v>
      </c>
      <c r="J9" s="2" t="s">
        <v>1014</v>
      </c>
      <c r="K9" t="s">
        <v>1018</v>
      </c>
    </row>
    <row r="10" spans="1:11" x14ac:dyDescent="0.25">
      <c r="F10" s="3" t="s">
        <v>1028</v>
      </c>
      <c r="G10">
        <v>197</v>
      </c>
      <c r="H10" s="8">
        <v>36715</v>
      </c>
      <c r="J10" s="3" t="s">
        <v>11</v>
      </c>
      <c r="K10" s="9">
        <v>143515</v>
      </c>
    </row>
    <row r="11" spans="1:11" x14ac:dyDescent="0.25">
      <c r="F11" s="3" t="s">
        <v>1017</v>
      </c>
      <c r="G11">
        <v>176</v>
      </c>
      <c r="H11" s="8">
        <v>35465</v>
      </c>
      <c r="J11" s="3" t="s">
        <v>14</v>
      </c>
      <c r="K11" s="9">
        <v>155580</v>
      </c>
    </row>
    <row r="12" spans="1:11" x14ac:dyDescent="0.25">
      <c r="F12" s="3" t="s">
        <v>1029</v>
      </c>
      <c r="G12">
        <v>227</v>
      </c>
      <c r="H12" s="8">
        <v>36960</v>
      </c>
      <c r="J12" s="3" t="s">
        <v>16</v>
      </c>
      <c r="K12" s="9">
        <v>156905</v>
      </c>
    </row>
    <row r="13" spans="1:11" x14ac:dyDescent="0.25">
      <c r="A13" s="2" t="s">
        <v>1014</v>
      </c>
      <c r="B13" t="s">
        <v>1018</v>
      </c>
      <c r="C13" t="s">
        <v>1019</v>
      </c>
      <c r="D13" t="s">
        <v>1020</v>
      </c>
      <c r="F13" s="3" t="s">
        <v>1030</v>
      </c>
      <c r="G13">
        <v>170</v>
      </c>
      <c r="H13" s="8">
        <v>23620</v>
      </c>
      <c r="J13" s="3" t="s">
        <v>1015</v>
      </c>
      <c r="K13" s="9">
        <v>456000</v>
      </c>
    </row>
    <row r="14" spans="1:11" x14ac:dyDescent="0.25">
      <c r="A14" s="3" t="s">
        <v>11</v>
      </c>
      <c r="B14" s="9">
        <v>143515</v>
      </c>
      <c r="C14" s="7">
        <v>0.31472587719298245</v>
      </c>
      <c r="D14" s="4">
        <v>0.6852741228070176</v>
      </c>
      <c r="F14" s="3" t="s">
        <v>1031</v>
      </c>
      <c r="G14">
        <v>252</v>
      </c>
      <c r="H14" s="8">
        <v>46580</v>
      </c>
    </row>
    <row r="15" spans="1:11" x14ac:dyDescent="0.25">
      <c r="A15" s="3" t="s">
        <v>14</v>
      </c>
      <c r="B15" s="9">
        <v>155580</v>
      </c>
      <c r="C15" s="7">
        <v>0.34118421052631581</v>
      </c>
      <c r="D15" s="4">
        <v>0.65881578947368413</v>
      </c>
      <c r="F15" s="3" t="s">
        <v>1032</v>
      </c>
      <c r="G15">
        <v>205</v>
      </c>
      <c r="H15" s="8">
        <v>34920</v>
      </c>
    </row>
    <row r="16" spans="1:11" x14ac:dyDescent="0.25">
      <c r="A16" s="3" t="s">
        <v>16</v>
      </c>
      <c r="B16" s="9">
        <v>156905</v>
      </c>
      <c r="C16" s="7">
        <v>0.34408991228070174</v>
      </c>
      <c r="D16" s="4">
        <v>0.65591008771929826</v>
      </c>
      <c r="F16" s="3" t="s">
        <v>1033</v>
      </c>
      <c r="G16">
        <v>207</v>
      </c>
      <c r="H16" s="8">
        <v>44690</v>
      </c>
    </row>
    <row r="17" spans="1:11" x14ac:dyDescent="0.25">
      <c r="A17" s="3" t="s">
        <v>1015</v>
      </c>
      <c r="B17" s="9">
        <v>456000</v>
      </c>
      <c r="C17" s="7">
        <v>1</v>
      </c>
      <c r="D17" s="4">
        <v>0</v>
      </c>
      <c r="F17" s="3" t="s">
        <v>1015</v>
      </c>
      <c r="G17">
        <v>2514</v>
      </c>
      <c r="H17" s="8">
        <v>456000</v>
      </c>
      <c r="J17" t="s">
        <v>1035</v>
      </c>
      <c r="K17" t="s">
        <v>1037</v>
      </c>
    </row>
    <row r="18" spans="1:11" x14ac:dyDescent="0.25">
      <c r="J18" s="10">
        <v>181.38424821002386</v>
      </c>
      <c r="K18" s="11">
        <v>2514</v>
      </c>
    </row>
    <row r="20" spans="1:11" x14ac:dyDescent="0.25">
      <c r="A20" s="6" t="str">
        <f>A14</f>
        <v>Beauty</v>
      </c>
      <c r="B20" s="5">
        <f>GETPIVOTDATA("[Measures].[Categorias]",$A$13,"[retail_sales_dataset].[Product Category]","[retail_sales_dataset].[Product Category].&amp;[Beauty]")</f>
        <v>0.31472587719298245</v>
      </c>
      <c r="C20" s="5">
        <f>GETPIVOTDATA("[Measures].[Restante]",$A$13,"[retail_sales_dataset].[Product Category]","[retail_sales_dataset].[Product Category].&amp;[Beauty]")</f>
        <v>0.6852741228070176</v>
      </c>
    </row>
    <row r="21" spans="1:11" x14ac:dyDescent="0.25">
      <c r="A21" s="6" t="str">
        <f>A15</f>
        <v>Clothing</v>
      </c>
      <c r="B21" s="5">
        <f>GETPIVOTDATA("[Measures].[Categorias]",$A$13,"[retail_sales_dataset].[Product Category]","[retail_sales_dataset].[Product Category].&amp;[Clothing]")</f>
        <v>0.34118421052631581</v>
      </c>
      <c r="C21" s="5">
        <f>GETPIVOTDATA("[Measures].[Restante]",$A$13,"[retail_sales_dataset].[Product Category]","[retail_sales_dataset].[Product Category].&amp;[Clothing]")</f>
        <v>0.65881578947368413</v>
      </c>
    </row>
    <row r="22" spans="1:11" x14ac:dyDescent="0.25">
      <c r="A22" s="6" t="str">
        <f>A16</f>
        <v>Electronics</v>
      </c>
      <c r="B22" s="5">
        <f>GETPIVOTDATA("[Measures].[Categorias]",$A$13,"[retail_sales_dataset].[Product Category]","[retail_sales_dataset].[Product Category].&amp;[Electronics]")</f>
        <v>0.34408991228070174</v>
      </c>
      <c r="C22" s="5">
        <f>GETPIVOTDATA("[Measures].[Restante]",$A$13,"[retail_sales_dataset].[Product Category]","[retail_sales_dataset].[Product Category].&amp;[Electronics]")</f>
        <v>0.65591008771929826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51AD-85A1-4BE5-8E64-3CE8362E744A}">
  <sheetPr>
    <tabColor theme="7" tint="0.39997558519241921"/>
  </sheetPr>
  <dimension ref="C4:R46"/>
  <sheetViews>
    <sheetView showGridLines="0" showRowColHeaders="0" tabSelected="1" topLeftCell="A22" workbookViewId="0">
      <selection activeCell="X16" sqref="X16"/>
    </sheetView>
  </sheetViews>
  <sheetFormatPr defaultRowHeight="15" x14ac:dyDescent="0.25"/>
  <cols>
    <col min="3" max="3" width="15.7109375" customWidth="1"/>
  </cols>
  <sheetData>
    <row r="4" spans="4:15" ht="15" customHeight="1" x14ac:dyDescent="0.25"/>
    <row r="5" spans="4:15" ht="15" customHeight="1" x14ac:dyDescent="0.25">
      <c r="D5" s="15" t="s">
        <v>1034</v>
      </c>
      <c r="E5" s="15"/>
      <c r="F5" s="15"/>
      <c r="H5" s="30" t="s">
        <v>1039</v>
      </c>
      <c r="I5" s="30"/>
      <c r="J5" s="30"/>
      <c r="L5" s="17" t="s">
        <v>1036</v>
      </c>
      <c r="M5" s="17"/>
      <c r="N5" s="17"/>
    </row>
    <row r="6" spans="4:15" ht="15" customHeight="1" x14ac:dyDescent="0.25">
      <c r="D6" s="15"/>
      <c r="E6" s="15"/>
      <c r="F6" s="15"/>
      <c r="H6" s="30"/>
      <c r="I6" s="30"/>
      <c r="J6" s="30"/>
      <c r="L6" s="17"/>
      <c r="M6" s="17"/>
      <c r="N6" s="17"/>
    </row>
    <row r="7" spans="4:15" ht="15" customHeight="1" x14ac:dyDescent="0.25">
      <c r="D7" s="16">
        <f>GETPIVOTDATA("[Measures].[SomaVendas]",DN_Vendas!$F$4)</f>
        <v>456000</v>
      </c>
      <c r="E7" s="16"/>
      <c r="F7" s="16"/>
      <c r="H7" s="24">
        <f>GETPIVOTDATA("[Measures].[QuantVendas]",DN_Vendas!$J$17)</f>
        <v>2514</v>
      </c>
      <c r="I7" s="25"/>
      <c r="J7" s="26"/>
      <c r="L7" s="18">
        <f>GETPIVOTDATA("[Measures].[TicketMedio]",DN_Vendas!$J$17)</f>
        <v>181.38424821002386</v>
      </c>
      <c r="M7" s="19"/>
      <c r="N7" s="20"/>
    </row>
    <row r="8" spans="4:15" ht="15" customHeight="1" x14ac:dyDescent="0.25">
      <c r="D8" s="16"/>
      <c r="E8" s="16"/>
      <c r="F8" s="16"/>
      <c r="H8" s="24"/>
      <c r="I8" s="25"/>
      <c r="J8" s="26"/>
      <c r="L8" s="18"/>
      <c r="M8" s="19"/>
      <c r="N8" s="20"/>
    </row>
    <row r="9" spans="4:15" ht="15" customHeight="1" x14ac:dyDescent="0.25">
      <c r="D9" s="16"/>
      <c r="E9" s="16"/>
      <c r="F9" s="16"/>
      <c r="H9" s="24"/>
      <c r="I9" s="25"/>
      <c r="J9" s="26"/>
      <c r="L9" s="18"/>
      <c r="M9" s="19"/>
      <c r="N9" s="20"/>
    </row>
    <row r="10" spans="4:15" ht="15" customHeight="1" x14ac:dyDescent="0.25">
      <c r="D10" s="16"/>
      <c r="E10" s="16"/>
      <c r="F10" s="16"/>
      <c r="H10" s="27"/>
      <c r="I10" s="28"/>
      <c r="J10" s="29"/>
      <c r="L10" s="21"/>
      <c r="M10" s="22"/>
      <c r="N10" s="23"/>
    </row>
    <row r="11" spans="4:15" ht="15" customHeight="1" x14ac:dyDescent="0.25"/>
    <row r="15" spans="4:15" x14ac:dyDescent="0.25">
      <c r="D15" s="13" t="s">
        <v>1021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4:15" x14ac:dyDescent="0.25"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3:18" x14ac:dyDescent="0.25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3:18" x14ac:dyDescent="0.25"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3:18" x14ac:dyDescent="0.25"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3:18" x14ac:dyDescent="0.25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3:18" x14ac:dyDescent="0.25"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3:18" ht="15" customHeight="1" x14ac:dyDescent="0.25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3:18" x14ac:dyDescent="0.25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3:18" x14ac:dyDescent="0.25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3:18" ht="15" customHeight="1" x14ac:dyDescent="0.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3:18" ht="15" customHeight="1" x14ac:dyDescent="0.25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3:18" x14ac:dyDescent="0.25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3:18" x14ac:dyDescent="0.25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32" spans="3:18" x14ac:dyDescent="0.25">
      <c r="C32" s="13" t="s">
        <v>1023</v>
      </c>
      <c r="D32" s="14"/>
      <c r="E32" s="14"/>
      <c r="F32" s="14"/>
      <c r="G32" s="14"/>
      <c r="H32" s="14"/>
      <c r="I32" s="14"/>
      <c r="K32" s="13" t="s">
        <v>1038</v>
      </c>
      <c r="L32" s="13"/>
      <c r="M32" s="13"/>
      <c r="N32" s="13"/>
      <c r="O32" s="13"/>
      <c r="P32" s="13"/>
      <c r="Q32" s="13"/>
      <c r="R32" s="13"/>
    </row>
    <row r="33" spans="3:18" x14ac:dyDescent="0.25">
      <c r="C33" s="14"/>
      <c r="D33" s="14"/>
      <c r="E33" s="14"/>
      <c r="F33" s="14"/>
      <c r="G33" s="14"/>
      <c r="H33" s="14"/>
      <c r="I33" s="14"/>
      <c r="K33" s="13"/>
      <c r="L33" s="13"/>
      <c r="M33" s="13"/>
      <c r="N33" s="13"/>
      <c r="O33" s="13"/>
      <c r="P33" s="13"/>
      <c r="Q33" s="13"/>
      <c r="R33" s="13"/>
    </row>
    <row r="34" spans="3:18" x14ac:dyDescent="0.25">
      <c r="C34" s="12"/>
      <c r="D34" s="12"/>
      <c r="E34" s="12"/>
      <c r="F34" s="12"/>
      <c r="G34" s="12"/>
      <c r="H34" s="12"/>
      <c r="I34" s="12"/>
      <c r="K34" s="12"/>
      <c r="L34" s="12"/>
      <c r="M34" s="12"/>
      <c r="N34" s="12"/>
      <c r="O34" s="12"/>
      <c r="P34" s="12"/>
      <c r="Q34" s="12"/>
      <c r="R34" s="12"/>
    </row>
    <row r="35" spans="3:18" x14ac:dyDescent="0.25">
      <c r="C35" s="12"/>
      <c r="D35" s="12"/>
      <c r="E35" s="12"/>
      <c r="F35" s="12"/>
      <c r="G35" s="12"/>
      <c r="H35" s="12"/>
      <c r="I35" s="12"/>
      <c r="K35" s="12"/>
      <c r="L35" s="12"/>
      <c r="M35" s="12"/>
      <c r="N35" s="12"/>
      <c r="O35" s="12"/>
      <c r="P35" s="12"/>
      <c r="Q35" s="12"/>
      <c r="R35" s="12"/>
    </row>
    <row r="36" spans="3:18" x14ac:dyDescent="0.25">
      <c r="C36" s="12"/>
      <c r="D36" s="12"/>
      <c r="E36" s="12"/>
      <c r="F36" s="12"/>
      <c r="G36" s="12"/>
      <c r="H36" s="12"/>
      <c r="I36" s="12"/>
      <c r="K36" s="12"/>
      <c r="L36" s="12"/>
      <c r="M36" s="12"/>
      <c r="N36" s="12"/>
      <c r="O36" s="12"/>
      <c r="P36" s="12"/>
      <c r="Q36" s="12"/>
      <c r="R36" s="12"/>
    </row>
    <row r="37" spans="3:18" x14ac:dyDescent="0.25">
      <c r="C37" s="12"/>
      <c r="D37" s="12"/>
      <c r="E37" s="12"/>
      <c r="F37" s="12"/>
      <c r="G37" s="12"/>
      <c r="H37" s="12"/>
      <c r="I37" s="12"/>
      <c r="K37" s="12"/>
      <c r="L37" s="12"/>
      <c r="M37" s="12"/>
      <c r="N37" s="12"/>
      <c r="O37" s="12"/>
      <c r="P37" s="12"/>
      <c r="Q37" s="12"/>
      <c r="R37" s="12"/>
    </row>
    <row r="38" spans="3:18" x14ac:dyDescent="0.25">
      <c r="C38" s="12"/>
      <c r="D38" s="12"/>
      <c r="E38" s="12"/>
      <c r="F38" s="12"/>
      <c r="G38" s="12"/>
      <c r="H38" s="12"/>
      <c r="I38" s="12"/>
      <c r="K38" s="12"/>
      <c r="L38" s="12"/>
      <c r="M38" s="12"/>
      <c r="N38" s="12"/>
      <c r="O38" s="12"/>
      <c r="P38" s="12"/>
      <c r="Q38" s="12"/>
      <c r="R38" s="12"/>
    </row>
    <row r="39" spans="3:18" x14ac:dyDescent="0.25">
      <c r="C39" s="12"/>
      <c r="D39" s="12"/>
      <c r="E39" s="12"/>
      <c r="F39" s="12"/>
      <c r="G39" s="12"/>
      <c r="H39" s="12"/>
      <c r="I39" s="12"/>
      <c r="K39" s="12"/>
      <c r="L39" s="12"/>
      <c r="M39" s="12"/>
      <c r="N39" s="12"/>
      <c r="O39" s="12"/>
      <c r="P39" s="12"/>
      <c r="Q39" s="12"/>
      <c r="R39" s="12"/>
    </row>
    <row r="40" spans="3:18" x14ac:dyDescent="0.25">
      <c r="C40" s="12"/>
      <c r="D40" s="12"/>
      <c r="E40" s="12"/>
      <c r="F40" s="12"/>
      <c r="G40" s="12"/>
      <c r="H40" s="12"/>
      <c r="I40" s="12"/>
      <c r="K40" s="12"/>
      <c r="L40" s="12"/>
      <c r="M40" s="12"/>
      <c r="N40" s="12"/>
      <c r="O40" s="12"/>
      <c r="P40" s="12"/>
      <c r="Q40" s="12"/>
      <c r="R40" s="12"/>
    </row>
    <row r="41" spans="3:18" x14ac:dyDescent="0.25">
      <c r="C41" s="12"/>
      <c r="D41" s="12"/>
      <c r="E41" s="12"/>
      <c r="F41" s="12"/>
      <c r="G41" s="12"/>
      <c r="H41" s="12"/>
      <c r="I41" s="12"/>
      <c r="K41" s="12"/>
      <c r="L41" s="12"/>
      <c r="M41" s="12"/>
      <c r="N41" s="12"/>
      <c r="O41" s="12"/>
      <c r="P41" s="12"/>
      <c r="Q41" s="12"/>
      <c r="R41" s="12"/>
    </row>
    <row r="42" spans="3:18" x14ac:dyDescent="0.25">
      <c r="C42" s="12"/>
      <c r="D42" s="12"/>
      <c r="E42" s="12"/>
      <c r="F42" s="12"/>
      <c r="G42" s="12"/>
      <c r="H42" s="12"/>
      <c r="I42" s="12"/>
      <c r="K42" s="12"/>
      <c r="L42" s="12"/>
      <c r="M42" s="12"/>
      <c r="N42" s="12"/>
      <c r="O42" s="12"/>
      <c r="P42" s="12"/>
      <c r="Q42" s="12"/>
      <c r="R42" s="12"/>
    </row>
    <row r="43" spans="3:18" x14ac:dyDescent="0.25">
      <c r="C43" s="12"/>
      <c r="D43" s="12"/>
      <c r="E43" s="12"/>
      <c r="F43" s="12"/>
      <c r="G43" s="12"/>
      <c r="H43" s="12"/>
      <c r="I43" s="12"/>
      <c r="K43" s="12"/>
      <c r="L43" s="12"/>
      <c r="M43" s="12"/>
      <c r="N43" s="12"/>
      <c r="O43" s="12"/>
      <c r="P43" s="12"/>
      <c r="Q43" s="12"/>
      <c r="R43" s="12"/>
    </row>
    <row r="44" spans="3:18" x14ac:dyDescent="0.25">
      <c r="C44" s="12"/>
      <c r="D44" s="12"/>
      <c r="E44" s="12"/>
      <c r="F44" s="12"/>
      <c r="G44" s="12"/>
      <c r="H44" s="12"/>
      <c r="I44" s="12"/>
      <c r="K44" s="12"/>
      <c r="L44" s="12"/>
      <c r="M44" s="12"/>
      <c r="N44" s="12"/>
      <c r="O44" s="12"/>
      <c r="P44" s="12"/>
      <c r="Q44" s="12"/>
      <c r="R44" s="12"/>
    </row>
    <row r="45" spans="3:18" x14ac:dyDescent="0.25">
      <c r="C45" s="12"/>
      <c r="D45" s="12"/>
      <c r="E45" s="12"/>
      <c r="F45" s="12"/>
      <c r="G45" s="12"/>
      <c r="H45" s="12"/>
      <c r="I45" s="12"/>
      <c r="K45" s="12"/>
      <c r="L45" s="12"/>
      <c r="M45" s="12"/>
      <c r="N45" s="12"/>
      <c r="O45" s="12"/>
      <c r="P45" s="12"/>
      <c r="Q45" s="12"/>
      <c r="R45" s="12"/>
    </row>
    <row r="46" spans="3:18" x14ac:dyDescent="0.25">
      <c r="C46" s="12"/>
      <c r="D46" s="12"/>
      <c r="E46" s="12"/>
      <c r="F46" s="12"/>
      <c r="G46" s="12"/>
      <c r="H46" s="12"/>
      <c r="I46" s="12"/>
      <c r="K46" s="12"/>
      <c r="L46" s="12"/>
      <c r="M46" s="12"/>
      <c r="N46" s="12"/>
      <c r="O46" s="12"/>
      <c r="P46" s="12"/>
      <c r="Q46" s="12"/>
      <c r="R46" s="12"/>
    </row>
  </sheetData>
  <mergeCells count="12">
    <mergeCell ref="D5:F6"/>
    <mergeCell ref="D7:F10"/>
    <mergeCell ref="D15:O16"/>
    <mergeCell ref="L5:N6"/>
    <mergeCell ref="L7:N10"/>
    <mergeCell ref="H7:J10"/>
    <mergeCell ref="H5:J6"/>
    <mergeCell ref="D17:O28"/>
    <mergeCell ref="C32:I33"/>
    <mergeCell ref="C34:I46"/>
    <mergeCell ref="K32:R33"/>
    <mergeCell ref="K34:R4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899A7703-295B-4532-BB60-C11E41186D9C}">
  <ds:schemaRefs/>
</ds:datastoreItem>
</file>

<file path=customXml/itemProps2.xml><?xml version="1.0" encoding="utf-8"?>
<ds:datastoreItem xmlns:ds="http://schemas.openxmlformats.org/officeDocument/2006/customXml" ds:itemID="{AD224741-B61E-429D-9994-9BAD8FA11780}">
  <ds:schemaRefs/>
</ds:datastoreItem>
</file>

<file path=customXml/itemProps3.xml><?xml version="1.0" encoding="utf-8"?>
<ds:datastoreItem xmlns:ds="http://schemas.openxmlformats.org/officeDocument/2006/customXml" ds:itemID="{8790641A-8D93-4B1C-8370-11C4EC040CF9}">
  <ds:schemaRefs/>
</ds:datastoreItem>
</file>

<file path=customXml/itemProps4.xml><?xml version="1.0" encoding="utf-8"?>
<ds:datastoreItem xmlns:ds="http://schemas.openxmlformats.org/officeDocument/2006/customXml" ds:itemID="{79F2BC97-CE49-41FD-B5D9-80F1D4EDB154}">
  <ds:schemaRefs/>
</ds:datastoreItem>
</file>

<file path=customXml/itemProps5.xml><?xml version="1.0" encoding="utf-8"?>
<ds:datastoreItem xmlns:ds="http://schemas.openxmlformats.org/officeDocument/2006/customXml" ds:itemID="{65E13A63-80CA-461D-B3C3-500F565AB108}">
  <ds:schemaRefs/>
</ds:datastoreItem>
</file>

<file path=customXml/itemProps6.xml><?xml version="1.0" encoding="utf-8"?>
<ds:datastoreItem xmlns:ds="http://schemas.openxmlformats.org/officeDocument/2006/customXml" ds:itemID="{305BD9C4-C21B-47D3-830C-499C49D1398C}">
  <ds:schemaRefs/>
</ds:datastoreItem>
</file>

<file path=customXml/itemProps7.xml><?xml version="1.0" encoding="utf-8"?>
<ds:datastoreItem xmlns:ds="http://schemas.openxmlformats.org/officeDocument/2006/customXml" ds:itemID="{72105492-E1AF-47E2-B8EB-0D029963A9E3}">
  <ds:schemaRefs/>
</ds:datastoreItem>
</file>

<file path=customXml/itemProps8.xml><?xml version="1.0" encoding="utf-8"?>
<ds:datastoreItem xmlns:ds="http://schemas.openxmlformats.org/officeDocument/2006/customXml" ds:itemID="{DA838E83-278E-4B7E-8FF3-B219B3891F2D}">
  <ds:schemaRefs/>
</ds:datastoreItem>
</file>

<file path=customXml/itemProps9.xml><?xml version="1.0" encoding="utf-8"?>
<ds:datastoreItem xmlns:ds="http://schemas.openxmlformats.org/officeDocument/2006/customXml" ds:itemID="{DFAF2DE2-999C-4DC2-8CB7-3C756395330D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2388ED45-CA85-4247-B939-C2673244DA38}">
  <ds:schemaRefs/>
</ds:datastoreItem>
</file>

<file path=customXml/itemProps11.xml><?xml version="1.0" encoding="utf-8"?>
<ds:datastoreItem xmlns:ds="http://schemas.openxmlformats.org/officeDocument/2006/customXml" ds:itemID="{093AC644-1174-46E4-91A5-F99D3B64CCA6}">
  <ds:schemaRefs/>
</ds:datastoreItem>
</file>

<file path=customXml/itemProps12.xml><?xml version="1.0" encoding="utf-8"?>
<ds:datastoreItem xmlns:ds="http://schemas.openxmlformats.org/officeDocument/2006/customXml" ds:itemID="{7CCD4099-EBC7-4930-9DEA-A29A15C8912F}">
  <ds:schemaRefs/>
</ds:datastoreItem>
</file>

<file path=customXml/itemProps13.xml><?xml version="1.0" encoding="utf-8"?>
<ds:datastoreItem xmlns:ds="http://schemas.openxmlformats.org/officeDocument/2006/customXml" ds:itemID="{A8618282-9DE4-4208-85B0-9A2E9135CD23}">
  <ds:schemaRefs/>
</ds:datastoreItem>
</file>

<file path=customXml/itemProps14.xml><?xml version="1.0" encoding="utf-8"?>
<ds:datastoreItem xmlns:ds="http://schemas.openxmlformats.org/officeDocument/2006/customXml" ds:itemID="{F398DA4E-D02E-427A-81C7-B886D4E6DC79}">
  <ds:schemaRefs/>
</ds:datastoreItem>
</file>

<file path=customXml/itemProps15.xml><?xml version="1.0" encoding="utf-8"?>
<ds:datastoreItem xmlns:ds="http://schemas.openxmlformats.org/officeDocument/2006/customXml" ds:itemID="{69D536DA-5BC6-436B-98B9-884E63A888FB}">
  <ds:schemaRefs/>
</ds:datastoreItem>
</file>

<file path=customXml/itemProps16.xml><?xml version="1.0" encoding="utf-8"?>
<ds:datastoreItem xmlns:ds="http://schemas.openxmlformats.org/officeDocument/2006/customXml" ds:itemID="{45F9C222-DBCE-4CAC-8EE7-FD4F019DD354}">
  <ds:schemaRefs/>
</ds:datastoreItem>
</file>

<file path=customXml/itemProps17.xml><?xml version="1.0" encoding="utf-8"?>
<ds:datastoreItem xmlns:ds="http://schemas.openxmlformats.org/officeDocument/2006/customXml" ds:itemID="{3C4771B5-0EA0-43FB-B14B-6697972C7797}">
  <ds:schemaRefs/>
</ds:datastoreItem>
</file>

<file path=customXml/itemProps18.xml><?xml version="1.0" encoding="utf-8"?>
<ds:datastoreItem xmlns:ds="http://schemas.openxmlformats.org/officeDocument/2006/customXml" ds:itemID="{EFF525A8-046F-43E0-928D-F2CAF9CE9690}">
  <ds:schemaRefs/>
</ds:datastoreItem>
</file>

<file path=customXml/itemProps19.xml><?xml version="1.0" encoding="utf-8"?>
<ds:datastoreItem xmlns:ds="http://schemas.openxmlformats.org/officeDocument/2006/customXml" ds:itemID="{10F85975-D44D-416F-8F9D-8134A8268E2C}">
  <ds:schemaRefs/>
</ds:datastoreItem>
</file>

<file path=customXml/itemProps20.xml><?xml version="1.0" encoding="utf-8"?>
<ds:datastoreItem xmlns:ds="http://schemas.openxmlformats.org/officeDocument/2006/customXml" ds:itemID="{CFE64ED7-E063-459C-8BFA-52ED7376C33F}">
  <ds:schemaRefs/>
</ds:datastoreItem>
</file>

<file path=customXml/itemProps21.xml><?xml version="1.0" encoding="utf-8"?>
<ds:datastoreItem xmlns:ds="http://schemas.openxmlformats.org/officeDocument/2006/customXml" ds:itemID="{5343AB29-EE73-456E-A10B-D9DCF79351B5}">
  <ds:schemaRefs/>
</ds:datastoreItem>
</file>

<file path=customXml/itemProps22.xml><?xml version="1.0" encoding="utf-8"?>
<ds:datastoreItem xmlns:ds="http://schemas.openxmlformats.org/officeDocument/2006/customXml" ds:itemID="{290890F6-23CB-4480-9B51-CD3F85894518}">
  <ds:schemaRefs/>
</ds:datastoreItem>
</file>

<file path=customXml/itemProps23.xml><?xml version="1.0" encoding="utf-8"?>
<ds:datastoreItem xmlns:ds="http://schemas.openxmlformats.org/officeDocument/2006/customXml" ds:itemID="{72314D72-AC31-46B4-AA8D-1300A830AC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TB_VENDAS</vt:lpstr>
      <vt:lpstr>DN_Vendas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P.</dc:creator>
  <cp:lastModifiedBy>Nathalie P.</cp:lastModifiedBy>
  <dcterms:created xsi:type="dcterms:W3CDTF">2026-05-28T12:46:00Z</dcterms:created>
  <dcterms:modified xsi:type="dcterms:W3CDTF">2026-05-29T11:42:03Z</dcterms:modified>
</cp:coreProperties>
</file>